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octor's checklist" sheetId="2" state="visible" r:id="rId4"/>
    <sheet name="SELECT results" sheetId="3" state="visible" r:id="rId5"/>
    <sheet name="INSERT results" sheetId="4" state="visible" r:id="rId6"/>
    <sheet name="MySQL check" sheetId="5" state="visible" r:id="rId7"/>
    <sheet name="Sample data" sheetId="6" state="visible" r:id="rId8"/>
    <sheet name="Rows read (EXPLAIN)" sheetId="7" state="visible" r:id="rId9"/>
    <sheet name="Table size" sheetId="8" state="visible" r:id="rId10"/>
    <sheet name="Raw SELECT" sheetId="9" state="visible" r:id="rId11"/>
    <sheet name="Raw INSERT" sheetId="10" state="visible" r:id="rId12"/>
    <sheet name="Raw verification" sheetId="11" state="visible" r:id="rId13"/>
    <sheet name="Method &amp; setup" sheetId="12" state="visible" r:id="rId14"/>
  </sheets>
  <definedNames>
    <definedName function="false" hidden="true" localSheetId="9" name="_xlnm._FilterDatabase" vbProcedure="false">'Raw INSERT'!$A$4:$G$34</definedName>
    <definedName function="false" hidden="true" localSheetId="8" name="_xlnm._FilterDatabase" vbProcedure="false">'Raw SELECT'!$A$4:$H$454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<sst xmlns="http://schemas.openxmlformats.org/spreadsheetml/2006/main" count="2098" uniqueCount="311">
  <si>
    <t xml:space="preserve">MySQL experiment: table WITH primary key vs WITHOUT primary key</t>
  </si>
  <si>
    <t xml:space="preserve">Machine: MacBook (MySQL 8.0 in Docker)  |  MySQL 8.0.46, InnoDB, buffer pool 128 MB  |  3 full runs, each SELECT executed 5x - medians shown  |  run on 2026-09-27 18:02:17 UTC</t>
  </si>
  <si>
    <t xml:space="preserve">Checked: all 6 of the doctor's instructions are done - see 'Doctor's checklist'. Data and timings were confirmed inside MySQL itself - see 'MySQL check'.</t>
  </si>
  <si>
    <t xml:space="preserve">Key findings</t>
  </si>
  <si>
    <t xml:space="preserve">1. SELECT with a primary key: about 0.72 ms for every row id, from row 10 to row 1,000,000. MySQL jumps directly to the row through the PRIMARY KEY B+tree index (EXPLAIN type = const, 1 row read).</t>
  </si>
  <si>
    <t xml:space="preserve">2. SELECT without a primary key: about 1,080 ms - roughly 1,498x slower - and nearly the same for row 10 and row 1,000,000. With no index MySQL must read all 1,000,000 rows (EXPLAIN type = ALL); it cannot stop at the first match because nothing says id is unique.</t>
  </si>
  <si>
    <t xml:space="preserve">3. With LIMIT 1 the scan stops at the first match, so the no-PK time grows with the row's position: 0.71 ms for row 10 -&gt; 854 ms for row 1,000,000 (see 'SELECT results', section B).</t>
  </si>
  <si>
    <t xml:space="preserve">4. INSERT: the table without a PK was 11% faster (all 4 batches together: 7.76 s vs 8.74 s with PK). With a PK, MySQL must check every new id for uniqueness and keep the PK index ordered - that is the small price paid for the fast SELECTs.</t>
  </si>
  <si>
    <t xml:space="preserve">5. After the extra inserts (1,220,000 rows) the no-PK SELECT took about 1,068 ms vs 1,080 ms before (-1%) - no clear change on this machine: 22% more rows should add roughly 22% more scan time, but the run-to-run variation here was larger than that. It still read every row (O(n)), while the PK SELECT stayed at about 0.69 ms (O(log n)).</t>
  </si>
  <si>
    <t xml:space="preserve">Table 1 - SELECT * FROM table WHERE id = N   (table has 1,000,000 rows)</t>
  </si>
  <si>
    <t xml:space="preserve">Row id searched</t>
  </si>
  <si>
    <t xml:space="preserve">With PK (ms)</t>
  </si>
  <si>
    <t xml:space="preserve">Without PK (ms)</t>
  </si>
  <si>
    <t xml:space="preserve">PK is ... times faster</t>
  </si>
  <si>
    <t xml:space="preserve">Rows read with PK</t>
  </si>
  <si>
    <t xml:space="preserve">Rows read without PK</t>
  </si>
  <si>
    <t xml:space="preserve">id = 10</t>
  </si>
  <si>
    <t xml:space="preserve">id = 1,000</t>
  </si>
  <si>
    <t xml:space="preserve">id = 10,000</t>
  </si>
  <si>
    <t xml:space="preserve">id = 100,000</t>
  </si>
  <si>
    <t xml:space="preserve">id = 1,000,000</t>
  </si>
  <si>
    <t xml:space="preserve">Table 2 - INSERT new random rows into the same tables (seconds, cumulative)</t>
  </si>
  <si>
    <t xml:space="preserve">Step</t>
  </si>
  <si>
    <t xml:space="preserve">Rows inserted</t>
  </si>
  <si>
    <t xml:space="preserve">Table size after</t>
  </si>
  <si>
    <t xml:space="preserve">With PK (s)</t>
  </si>
  <si>
    <t xml:space="preserve">Without PK (s)</t>
  </si>
  <si>
    <t xml:space="preserve">Without PK vs with PK</t>
  </si>
  <si>
    <t xml:space="preserve">Insert 20,000 rows</t>
  </si>
  <si>
    <t xml:space="preserve">Insert 40,000 rows</t>
  </si>
  <si>
    <t xml:space="preserve">Insert 60,000 rows</t>
  </si>
  <si>
    <t xml:space="preserve">Insert 100,000 rows</t>
  </si>
  <si>
    <t xml:space="preserve">Initial load (step 1)</t>
  </si>
  <si>
    <t xml:space="preserve">All values are medians and are linked by formulas to the detail sheets; every single measurement is in 'Raw SELECT' and 'Raw INSERT'. Method, table definitions and settings are in 'Method &amp; setup'.</t>
  </si>
  <si>
    <t xml:space="preserve">Doctor's instructions - checklist</t>
  </si>
  <si>
    <t xml:space="preserve">Each instruction from the doctor's chat, what was done, and where the proof is in this file.</t>
  </si>
  <si>
    <t xml:space="preserve">#</t>
  </si>
  <si>
    <t xml:space="preserve">Doctor's instruction (his words)</t>
  </si>
  <si>
    <t xml:space="preserve">What was done</t>
  </si>
  <si>
    <t xml:space="preserve">Proof in this file</t>
  </si>
  <si>
    <t xml:space="preserve">Status</t>
  </si>
  <si>
    <t xml:space="preserve">"Just install mysql in your laptop."</t>
  </si>
  <si>
    <t xml:space="preserve">MySQL 8.0.46 (InnoDB, default settings) was installed and every number in this file was measured on it. It ran on your laptop, with MySQL in a Docker container.</t>
  </si>
  <si>
    <t xml:space="preserve">'Method &amp; setup'</t>
  </si>
  <si>
    <t xml:space="preserve">Done</t>
  </si>
  <si>
    <t xml:space="preserve">"Make a table with and without primary key"</t>
  </si>
  <si>
    <t xml:space="preserve">data_pk: 7 columns, PRIMARY KEY (id).  data_nopk: the same 7 columns, no primary key and no index. SHOW INDEX confirms: data_pk has PRIMARY on id; data_nopk has no indexes.</t>
  </si>
  <si>
    <t xml:space="preserve">'MySQL check' section A</t>
  </si>
  <si>
    <t xml:space="preserve">"Insert random variable up to 1 milliom"</t>
  </si>
  <si>
    <t xml:space="preserve">1,000,000 rows with random name, email, age, city, salary and date inserted into each table (ids 1 to 1,000,000). MySQL COUNT(*) = 1,000,000 in data_pk and 1,000,000 in data_nopk; both tables hold identical data (equal checksums).</t>
  </si>
  <si>
    <t xml:space="preserve">'MySQL check' section B, 'Sample data'</t>
  </si>
  <si>
    <t xml:space="preserve">"Select from the table a data from row 10, 1000, 10000, 100000 and 1000000 and see the time"</t>
  </si>
  <si>
    <t xml:space="preserve">SELECT * FROM table WHERE id = N for N = 10, 1,000, 10,000, 100,000, 1,000,000 on both tables; each query run 5 times in each of 3 runs (median reported). Times confirmed by MySQL's own timer.</t>
  </si>
  <si>
    <t xml:space="preserve">'Summary' Table 1, 'SELECT results', 'MySQL check' section C</t>
  </si>
  <si>
    <t xml:space="preserve">"Then try insert 20000 random data to that previous table, see the time"</t>
  </si>
  <si>
    <t xml:space="preserve">20,000 new random rows inserted into the SAME two tables (1,000,000 -&gt; 1,020,000 rows) and timed.</t>
  </si>
  <si>
    <t xml:space="preserve">'Summary' Table 2, 'INSERT results', 'MySQL check' section D</t>
  </si>
  <si>
    <t xml:space="preserve">"Again insert 40000, 60000, 100000 rows and see the times"</t>
  </si>
  <si>
    <t xml:space="preserve">Inserted 40,000, 60,000, 100,000 more rows into the same tables, one after another (1,020,000 -&gt; 1,220,000 rows), timing each. COUNT(*) checked after every step: final 1,220,000 rows in both tables.</t>
  </si>
  <si>
    <t xml:space="preserve">How 'row 10' was read: as the row whose id = 10. Rows were inserted in id order 1, 2, 3 ..., so id = N is the N-th row inserted. SELECT * FROM table WHERE id = N is the normal way to fetch one row, and it is the query where a primary key makes the difference.</t>
  </si>
  <si>
    <t xml:space="preserve">Same data in both tables: every random row was inserted into both tables, so the ONLY difference between them is the primary key.</t>
  </si>
  <si>
    <t xml:space="preserve">Extras (not asked, clearly labelled): the LIMIT 1 test, SELECTs repeated after all inserts, EXPLAIN / rows read, table size on disk, and this verification run.</t>
  </si>
  <si>
    <t xml:space="preserve">SELECT results - time to fetch one row by id (milliseconds)</t>
  </si>
  <si>
    <t xml:space="preserve">Each run value = median of 5 executions (formula over 'Raw SELECT'). 'Median' = median of the runs. Lower is better.</t>
  </si>
  <si>
    <t xml:space="preserve">A. Main test: SELECT * FROM table WHERE id = N   (table has 1,000,000 rows)</t>
  </si>
  <si>
    <t xml:space="preserve">WITH primary key</t>
  </si>
  <si>
    <t xml:space="preserve">WITHOUT primary key</t>
  </si>
  <si>
    <t xml:space="preserve">Target id</t>
  </si>
  <si>
    <t xml:space="preserve">Run 1</t>
  </si>
  <si>
    <t xml:space="preserve">Run 2</t>
  </si>
  <si>
    <t xml:space="preserve">Run 3</t>
  </si>
  <si>
    <t xml:space="preserve">Median</t>
  </si>
  <si>
    <t xml:space="preserve">B. Extra: same query with LIMIT 1 - MySQL may stop scanning at the first match</t>
  </si>
  <si>
    <t xml:space="preserve">With LIMIT 1 MySQL stops scanning at the first match, so for a row near the start (id = 10) the table without a PK can be as fast as the PK lookup (ratio below 1x).</t>
  </si>
  <si>
    <t xml:space="preserve">C. Extra: main query repeated after all inserts (table has 1,220,000 rows)</t>
  </si>
  <si>
    <t xml:space="preserve">Chart data (section B medians)</t>
  </si>
  <si>
    <t xml:space="preserve">With PK</t>
  </si>
  <si>
    <t xml:space="preserve">Without PK</t>
  </si>
  <si>
    <t xml:space="preserve">INSERT results - time to insert new random rows (seconds)</t>
  </si>
  <si>
    <t xml:space="preserve">Steps are cumulative on the same tables: 1,000,000 -&gt; +20,000 -&gt; +40,000 -&gt; +60,000 -&gt; +100,000. Run values link to 'Raw INSERT'. Lower is better.</t>
  </si>
  <si>
    <t xml:space="preserve">WITH primary key (s)</t>
  </si>
  <si>
    <t xml:space="preserve">WITHOUT primary key (s)</t>
  </si>
  <si>
    <t xml:space="preserve">Rows/s with PK</t>
  </si>
  <si>
    <t xml:space="preserve">Rows/s without PK</t>
  </si>
  <si>
    <t xml:space="preserve">Initial load</t>
  </si>
  <si>
    <t xml:space="preserve">Insert 20,000</t>
  </si>
  <si>
    <t xml:space="preserve">Insert 40,000</t>
  </si>
  <si>
    <t xml:space="preserve">Insert 60,000</t>
  </si>
  <si>
    <t xml:space="preserve">Insert 100,000</t>
  </si>
  <si>
    <t xml:space="preserve">'Without PK vs with PK' = (median without PK - median with PK) / median with PK. Positive = the table without a PK was slower; negative = it was faster.</t>
  </si>
  <si>
    <t xml:space="preserve">Checked inside MySQL - table definitions, data, and MySQL's own timings</t>
  </si>
  <si>
    <t xml:space="preserve">A separate, fresh run of the doctor's steps (verification run). Times below come from MySQL's own clock (performance_schema), shown next to the Python-measured times.</t>
  </si>
  <si>
    <t xml:space="preserve">A. Table definitions - output of SHOW CREATE TABLE and SHOW INDEX</t>
  </si>
  <si>
    <t xml:space="preserve">Table</t>
  </si>
  <si>
    <t xml:space="preserve">SHOW CREATE TABLE (exactly as MySQL returns it)</t>
  </si>
  <si>
    <t xml:space="preserve">SHOW INDEX</t>
  </si>
  <si>
    <t xml:space="preserve">data_pk
(With PK)</t>
  </si>
  <si>
    <t xml:space="preserve">CREATE TABLE `data_pk` (
  `id` int NOT NULL,
  `name` varchar(50) NOT NULL,
  `email` varchar(100) NOT NULL,
  `age` int NOT NULL,
  `city` varchar(30) NOT NULL,
  `salary` decimal(12,2) NOT NULL,
  `created_at` datetime NOT NULL,
  PRIMARY KEY (`id`)
) ENGINE=InnoDB DEFAULT CHARSET=utf8mb4 COLLATE=utf8mb4_0900_ai_ci</t>
  </si>
  <si>
    <t xml:space="preserve">PRIMARY on id (BTREE, unique)</t>
  </si>
  <si>
    <t xml:space="preserve">data_nopk
(Without PK)</t>
  </si>
  <si>
    <t xml:space="preserve">CREATE TABLE `data_nopk` (
  `id` int NOT NULL,
  `name` varchar(50) NOT NULL,
  `email` varchar(100) NOT NULL,
  `age` int NOT NULL,
  `city` varchar(30) NOT NULL,
  `salary` decimal(12,2) NOT NULL,
  `created_at` datetime NOT NULL
) ENGINE=InnoDB DEFAULT CHARSET=utf8mb4 COLLATE=utf8mb4_0900_ai_ci</t>
  </si>
  <si>
    <t xml:space="preserve">(no indexes at all)</t>
  </si>
  <si>
    <t xml:space="preserve">B. Data checks - SQL run inside MySQL on both tables</t>
  </si>
  <si>
    <t xml:space="preserve">Stage</t>
  </si>
  <si>
    <t xml:space="preserve">COUNT(*)</t>
  </si>
  <si>
    <t xml:space="preserve">COUNT(DISTINCT id)</t>
  </si>
  <si>
    <t xml:space="preserve">MIN(id)</t>
  </si>
  <si>
    <t xml:space="preserve">MAX(id)</t>
  </si>
  <si>
    <t xml:space="preserve">Checksum of all columns</t>
  </si>
  <si>
    <t xml:space="preserve">Same data in both tables?</t>
  </si>
  <si>
    <t xml:space="preserve">Age min</t>
  </si>
  <si>
    <t xml:space="preserve">Age max</t>
  </si>
  <si>
    <t xml:space="preserve">Distinct cities</t>
  </si>
  <si>
    <t xml:space="preserve">Salary min</t>
  </si>
  <si>
    <t xml:space="preserve">Salary max</t>
  </si>
  <si>
    <t xml:space="preserve">First created_at</t>
  </si>
  <si>
    <t xml:space="preserve">Last created_at</t>
  </si>
  <si>
    <t xml:space="preserve">After step 2 (1,000,000 rows)</t>
  </si>
  <si>
    <t xml:space="preserve">data_pk</t>
  </si>
  <si>
    <t xml:space="preserve">2020-01-01 00:19:37</t>
  </si>
  <si>
    <t xml:space="preserve">2025-12-29 23:56:28</t>
  </si>
  <si>
    <t xml:space="preserve">data_nopk</t>
  </si>
  <si>
    <t xml:space="preserve">After step 5 (1,220,000 rows)</t>
  </si>
  <si>
    <t xml:space="preserve">Checksum = BIT_XOR(CRC32(CONCAT_WS('|', id, name, email, age, city, salary, created_at))) over every row. Equal checksums = both tables contain exactly the same rows.</t>
  </si>
  <si>
    <t xml:space="preserve">C. SELECT * FROM table WHERE id = N - MySQL's own timer and rows examined (median of 5 executions)</t>
  </si>
  <si>
    <t xml:space="preserve">Main experiment, Python (ms)</t>
  </si>
  <si>
    <t xml:space="preserve">Verification, Python (ms)</t>
  </si>
  <si>
    <t xml:space="preserve">Verification, MySQL timer (ms)</t>
  </si>
  <si>
    <t xml:space="preserve">Rows examined (MySQL)</t>
  </si>
  <si>
    <t xml:space="preserve">MySQL timer = TIMER_WAIT in performance_schema.events_statements_history: the time the server spent running the statement. The Python time also includes the network round trip, so a PK lookup shows ~0.1 ms inside MySQL but ~0.3 ms in Python. For the table without a PK both clocks agree, because reading every row dominates.</t>
  </si>
  <si>
    <t xml:space="preserve">D. INSERT - MySQL's own timer and row counts (verification run)</t>
  </si>
  <si>
    <t xml:space="preserve">Main experiment, Python</t>
  </si>
  <si>
    <t xml:space="preserve">Verification, Python</t>
  </si>
  <si>
    <t xml:space="preserve">Verification, MySQL timer</t>
  </si>
  <si>
    <t xml:space="preserve">COUNT(*) after - with PK</t>
  </si>
  <si>
    <t xml:space="preserve">COUNT(*) after - without PK</t>
  </si>
  <si>
    <t xml:space="preserve">MySQL timer = total TIMER_WAIT of that step's INSERT statements + COMMIT (performance_schema.events_statements_summary_by_thread_by_event_name). The Python time is about twice as long because it also packs and sends the rows over the connection. Neither clock shows a consistent winner for inserts - the primary key adds almost no insert cost here.</t>
  </si>
  <si>
    <t xml:space="preserve">Sample rows exactly as stored in MySQL (verification run, after step 2)</t>
  </si>
  <si>
    <t xml:space="preserve">SELECT * FROM data_pk / data_nopk WHERE id IN (1..10, 1000, 10000, 100000, 1000000) ORDER BY id. All columns except id are random.</t>
  </si>
  <si>
    <t xml:space="preserve">data_pk (WITH primary key)</t>
  </si>
  <si>
    <t xml:space="preserve">data_nopk (WITHOUT primary key)</t>
  </si>
  <si>
    <t xml:space="preserve">id</t>
  </si>
  <si>
    <t xml:space="preserve">name</t>
  </si>
  <si>
    <t xml:space="preserve">email</t>
  </si>
  <si>
    <t xml:space="preserve">age</t>
  </si>
  <si>
    <t xml:space="preserve">city</t>
  </si>
  <si>
    <t xml:space="preserve">salary</t>
  </si>
  <si>
    <t xml:space="preserve">created_at</t>
  </si>
  <si>
    <t xml:space="preserve">Row identical?</t>
  </si>
  <si>
    <t xml:space="preserve">Itnqqj</t>
  </si>
  <si>
    <t xml:space="preserve">itnqqj7155@example.com</t>
  </si>
  <si>
    <t xml:space="preserve">Yogyakarta</t>
  </si>
  <si>
    <t xml:space="preserve">2021-04-11 05:32:01</t>
  </si>
  <si>
    <t xml:space="preserve">Inruglh</t>
  </si>
  <si>
    <t xml:space="preserve">inruglh693@example.com</t>
  </si>
  <si>
    <t xml:space="preserve">Semarang</t>
  </si>
  <si>
    <t xml:space="preserve">2024-06-01 01:00:32</t>
  </si>
  <si>
    <t xml:space="preserve">Rayhkughpcch</t>
  </si>
  <si>
    <t xml:space="preserve">rayhkughpcch9510@example.com</t>
  </si>
  <si>
    <t xml:space="preserve">Medan</t>
  </si>
  <si>
    <t xml:space="preserve">2024-12-25 07:17:07</t>
  </si>
  <si>
    <t xml:space="preserve">Eriqepo</t>
  </si>
  <si>
    <t xml:space="preserve">eriqepo8066@example.com</t>
  </si>
  <si>
    <t xml:space="preserve">Jakarta</t>
  </si>
  <si>
    <t xml:space="preserve">2025-10-07 10:57:19</t>
  </si>
  <si>
    <t xml:space="preserve">Zyrintoqo</t>
  </si>
  <si>
    <t xml:space="preserve">zyrintoqo3430@example.com</t>
  </si>
  <si>
    <t xml:space="preserve">2020-04-16 12:34:39</t>
  </si>
  <si>
    <t xml:space="preserve">Hrslvzp</t>
  </si>
  <si>
    <t xml:space="preserve">hrslvzp3@example.com</t>
  </si>
  <si>
    <t xml:space="preserve">Bandung</t>
  </si>
  <si>
    <t xml:space="preserve">2024-09-06 06:48:49</t>
  </si>
  <si>
    <t xml:space="preserve">Edavsmdcuugu</t>
  </si>
  <si>
    <t xml:space="preserve">edavsmdcuugu5737@example.com</t>
  </si>
  <si>
    <t xml:space="preserve">Solo</t>
  </si>
  <si>
    <t xml:space="preserve">2023-08-30 10:19:03</t>
  </si>
  <si>
    <t xml:space="preserve">Rzvejh</t>
  </si>
  <si>
    <t xml:space="preserve">rzvejh8912@example.com</t>
  </si>
  <si>
    <t xml:space="preserve">Makassar</t>
  </si>
  <si>
    <t xml:space="preserve">2020-04-15 23:04:56</t>
  </si>
  <si>
    <t xml:space="preserve">Bdgna</t>
  </si>
  <si>
    <t xml:space="preserve">bdgna6297@example.com</t>
  </si>
  <si>
    <t xml:space="preserve">2021-11-10 22:41:39</t>
  </si>
  <si>
    <t xml:space="preserve">Zpzgqfafnm</t>
  </si>
  <si>
    <t xml:space="preserve">zpzgqfafnm1409@example.com</t>
  </si>
  <si>
    <t xml:space="preserve">2023-04-21 16:01:48</t>
  </si>
  <si>
    <t xml:space="preserve">Layznir</t>
  </si>
  <si>
    <t xml:space="preserve">layznir1725@example.com</t>
  </si>
  <si>
    <t xml:space="preserve">Malang</t>
  </si>
  <si>
    <t xml:space="preserve">2022-06-25 14:00:40</t>
  </si>
  <si>
    <t xml:space="preserve">Scidluympx</t>
  </si>
  <si>
    <t xml:space="preserve">scidluympx9306@example.com</t>
  </si>
  <si>
    <t xml:space="preserve">2023-07-14 08:09:11</t>
  </si>
  <si>
    <t xml:space="preserve">Aclzzioq</t>
  </si>
  <si>
    <t xml:space="preserve">aclzzioq6438@example.com</t>
  </si>
  <si>
    <t xml:space="preserve">2021-01-14 03:31:03</t>
  </si>
  <si>
    <t xml:space="preserve">Bgwcsd</t>
  </si>
  <si>
    <t xml:space="preserve">bgwcsd2131@example.com</t>
  </si>
  <si>
    <t xml:space="preserve">2020-05-28 03:40:15</t>
  </si>
  <si>
    <t xml:space="preserve">How many rows MySQL had to read - EXPLAIN plan and handler counters (run 1)</t>
  </si>
  <si>
    <t xml:space="preserve">type = const -&gt; direct lookup through the PRIMARY KEY index.  type = ALL -&gt; full table scan.  Handler_read_rnd_next counts rows read one-by-one during a scan.</t>
  </si>
  <si>
    <t xml:space="preserve">Query</t>
  </si>
  <si>
    <t xml:space="preserve">EXPLAIN type</t>
  </si>
  <si>
    <t xml:space="preserve">EXPLAIN key</t>
  </si>
  <si>
    <t xml:space="preserve">EXPLAIN rows (estimate)</t>
  </si>
  <si>
    <t xml:space="preserve">Handler_read_key</t>
  </si>
  <si>
    <t xml:space="preserve">Handler_read_rnd_next</t>
  </si>
  <si>
    <t xml:space="preserve">Rows actually read</t>
  </si>
  <si>
    <t xml:space="preserve">SELECT * FROM t WHERE id = N</t>
  </si>
  <si>
    <t xml:space="preserve">const</t>
  </si>
  <si>
    <t xml:space="preserve">PRIMARY</t>
  </si>
  <si>
    <t xml:space="preserve">ALL</t>
  </si>
  <si>
    <t xml:space="preserve">(none)</t>
  </si>
  <si>
    <t xml:space="preserve">SELECT * FROM t WHERE id = N LIMIT 1</t>
  </si>
  <si>
    <t xml:space="preserve">Rows actually read = Handler_read_rnd_next when MySQL scanned the table, otherwise Handler_read_key (index lookups). A scan also counts one final 'end of table' read, so a full scan of N rows shows N + 1.</t>
  </si>
  <si>
    <t xml:space="preserve">Table size on disk (information_schema, after ANALYZE TABLE)</t>
  </si>
  <si>
    <t xml:space="preserve">InnoDB stores the whole table inside its clustered index. With a PK that index is the PRIMARY KEY; without one InnoDB adds a hidden 6-byte row id (GEN_CLUST_INDEX) and clusters on that.</t>
  </si>
  <si>
    <t xml:space="preserve">Run</t>
  </si>
  <si>
    <t xml:space="preserve">Row count</t>
  </si>
  <si>
    <t xml:space="preserve">Data (MB)</t>
  </si>
  <si>
    <t xml:space="preserve">Secondary indexes (MB)</t>
  </si>
  <si>
    <t xml:space="preserve">after 1,000,000</t>
  </si>
  <si>
    <t xml:space="preserve">after 1,220,000</t>
  </si>
  <si>
    <t xml:space="preserve">Raw SELECT timings - every single query execution</t>
  </si>
  <si>
    <t xml:space="preserve">Each SELECT was executed 5 times per run; time = send query + fetch result, measured in Python (time.perf_counter).</t>
  </si>
  <si>
    <t xml:space="preserve">Rows in table</t>
  </si>
  <si>
    <t xml:space="preserve">Repeat #</t>
  </si>
  <si>
    <t xml:space="preserve">Time (ms)</t>
  </si>
  <si>
    <t xml:space="preserve">after initial load</t>
  </si>
  <si>
    <t xml:space="preserve">after all inserts</t>
  </si>
  <si>
    <t xml:space="preserve">Raw INSERT timings - every insert step, every run</t>
  </si>
  <si>
    <t xml:space="preserve">Rows inserted with multi-row INSERT statements of 1,000 rows, committed once per step. Both tables received exactly the same random rows.</t>
  </si>
  <si>
    <t xml:space="preserve">Rows before</t>
  </si>
  <si>
    <t xml:space="preserve">Rows after</t>
  </si>
  <si>
    <t xml:space="preserve">Time (s)</t>
  </si>
  <si>
    <t xml:space="preserve">Raw verification data - every statement of the verification run</t>
  </si>
  <si>
    <t xml:space="preserve">SQL text, time and rows examined exactly as MySQL recorded them in performance_schema.</t>
  </si>
  <si>
    <t xml:space="preserve">SQL text (recorded by MySQL)</t>
  </si>
  <si>
    <t xml:space="preserve">Python time (ms)</t>
  </si>
  <si>
    <t xml:space="preserve">MySQL timer (ms)</t>
  </si>
  <si>
    <t xml:space="preserve">Rows examined</t>
  </si>
  <si>
    <t xml:space="preserve">Rows sent</t>
  </si>
  <si>
    <t xml:space="preserve">No index used (1 = yes)</t>
  </si>
  <si>
    <t xml:space="preserve">SELECT * FROM data_pk WHERE id = 10</t>
  </si>
  <si>
    <t xml:space="preserve">SELECT * FROM data_nopk WHERE id = 10</t>
  </si>
  <si>
    <t xml:space="preserve">SELECT * FROM data_pk WHERE id = 1000</t>
  </si>
  <si>
    <t xml:space="preserve">SELECT * FROM data_nopk WHERE id = 1000</t>
  </si>
  <si>
    <t xml:space="preserve">SELECT * FROM data_pk WHERE id = 10000</t>
  </si>
  <si>
    <t xml:space="preserve">SELECT * FROM data_nopk WHERE id = 10000</t>
  </si>
  <si>
    <t xml:space="preserve">SELECT * FROM data_pk WHERE id = 100000</t>
  </si>
  <si>
    <t xml:space="preserve">SELECT * FROM data_nopk WHERE id = 100000</t>
  </si>
  <si>
    <t xml:space="preserve">SELECT * FROM data_pk WHERE id = 1000000</t>
  </si>
  <si>
    <t xml:space="preserve">SELECT * FROM data_nopk WHERE id = 1000000</t>
  </si>
  <si>
    <t xml:space="preserve">INSERT statements of the verification run</t>
  </si>
  <si>
    <t xml:space="preserve">INSERT statements + COMMIT</t>
  </si>
  <si>
    <t xml:space="preserve">Python time (s)</t>
  </si>
  <si>
    <t xml:space="preserve">MySQL timer (s)</t>
  </si>
  <si>
    <t xml:space="preserve">COUNT(*) after</t>
  </si>
  <si>
    <t xml:space="preserve">Method &amp; setup</t>
  </si>
  <si>
    <t xml:space="preserve">Environment</t>
  </si>
  <si>
    <t xml:space="preserve">Machine</t>
  </si>
  <si>
    <t xml:space="preserve">MacBook (MySQL 8.0 in Docker)</t>
  </si>
  <si>
    <t xml:space="preserve">CPU</t>
  </si>
  <si>
    <t xml:space="preserve">Intel(R) Core(TM) i5-5257U CPU @ 2.70GHz</t>
  </si>
  <si>
    <t xml:space="preserve">Operating system</t>
  </si>
  <si>
    <t xml:space="preserve">Linux 6.10.14-linuxkit</t>
  </si>
  <si>
    <t xml:space="preserve">MySQL version</t>
  </si>
  <si>
    <t xml:space="preserve">8.0.46</t>
  </si>
  <si>
    <t xml:space="preserve">Storage engine</t>
  </si>
  <si>
    <t xml:space="preserve">InnoDB (MySQL default)</t>
  </si>
  <si>
    <t xml:space="preserve">innodb_buffer_pool_size</t>
  </si>
  <si>
    <t xml:space="preserve">128 MB (default)</t>
  </si>
  <si>
    <t xml:space="preserve">innodb_flush_log_at_trx_commit</t>
  </si>
  <si>
    <t xml:space="preserve">1 (default - full durability)</t>
  </si>
  <si>
    <t xml:space="preserve">Client</t>
  </si>
  <si>
    <t xml:space="preserve">Python 3.12.14 + mysql-connector-python, same machine as the server</t>
  </si>
  <si>
    <t xml:space="preserve">Run started</t>
  </si>
  <si>
    <t xml:space="preserve">2026-09-27 18:02:17 UTC</t>
  </si>
  <si>
    <t xml:space="preserve">Procedure (from the assignment)</t>
  </si>
  <si>
    <t xml:space="preserve">Step 1</t>
  </si>
  <si>
    <t xml:space="preserve">Create two tables with identical columns: data_pk (id is the PRIMARY KEY) and data_nopk (id is a normal INT column: no primary key, no index).</t>
  </si>
  <si>
    <t xml:space="preserve">Step 2</t>
  </si>
  <si>
    <t xml:space="preserve">Insert 1,000,000 random rows (ids 1..1,000,000) into each table. Both tables get exactly the same random data.</t>
  </si>
  <si>
    <t xml:space="preserve">Step 3</t>
  </si>
  <si>
    <t xml:space="preserve">SELECT * FROM &lt;table&gt; WHERE id = N for N = 10, 1,000, 10,000, 100,000, 1,000,000; each query executed 5 times, median kept.</t>
  </si>
  <si>
    <t xml:space="preserve">Step 4</t>
  </si>
  <si>
    <t xml:space="preserve">Insert 20,000 new random rows into the same tables and time it.</t>
  </si>
  <si>
    <t xml:space="preserve">Step 5</t>
  </si>
  <si>
    <t xml:space="preserve">Insert 40,000, 60,000, 100,000 more rows (cumulative, same tables) and time each batch.</t>
  </si>
  <si>
    <t xml:space="preserve">Repeats</t>
  </si>
  <si>
    <t xml:space="preserve">The whole procedure (fresh tables) was repeated 3 times; the table order (PK first / no-PK first) alternates between runs so neither table always runs 'warm'. Summary values are medians of the runs.</t>
  </si>
  <si>
    <t xml:space="preserve">Insert method</t>
  </si>
  <si>
    <t xml:space="preserve">Multi-row INSERT statements of 1,000 rows each, one COMMIT per step. Random data generated before the timer starts, so only database time is measured.</t>
  </si>
  <si>
    <t xml:space="preserve">Timing</t>
  </si>
  <si>
    <t xml:space="preserve">Wall-clock time from sending the query to receiving the full result (Python time.perf_counter). The ~0.3 ms measured with a PK is mostly client round-trip overhead; the index lookup itself inside MySQL takes only microseconds.</t>
  </si>
  <si>
    <t xml:space="preserve">Random data</t>
  </si>
  <si>
    <t xml:space="preserve">name, email, age 18-65, one of 12 Indonesian cities, salary, created_at 2020-2025; seed 2026 + run number (reproducible).</t>
  </si>
  <si>
    <t xml:space="preserve">Table definitions</t>
  </si>
  <si>
    <t xml:space="preserve">CREATE TABLE data_pk (
        id          INT            NOT NULL,
        name        VARCHAR(50)    NOT NULL,
        email       VARCHAR(100)   NOT NULL,
        age         INT            NOT NULL,
        city        VARCHAR(30)    NOT NULL,
        salary      DECIMAL(12,2)  NOT NULL,
        created_at  DATETIME       NOT NULL,
        PRIMARY KEY (id)
    ) ENGINE=InnoDB</t>
  </si>
  <si>
    <t xml:space="preserve">CREATE TABLE data_nopk (
        id          INT            NOT NULL,
        name        VARCHAR(50)    NOT NULL,
        email       VARCHAR(100)   NOT NULL,
        age         INT            NOT NULL,
        city        VARCHAR(30)    NOT NULL,
        salary      DECIMAL(12,2)  NOT NULL,
        created_at  DATETIME       NOT NULL
    ) ENGINE=InnoDB</t>
  </si>
  <si>
    <t xml:space="preserve">Why the results look like this</t>
  </si>
  <si>
    <t xml:space="preserve">PRIMARY KEY</t>
  </si>
  <si>
    <t xml:space="preserve">InnoDB stores the table as a B+tree ordered by the primary key (clustered index). Finding id = N walks ~3-4 tree levels no matter where the row is: O(log n), constant in practice.</t>
  </si>
  <si>
    <t xml:space="preserve">No PRIMARY KEY</t>
  </si>
  <si>
    <t xml:space="preserve">The id column has no index, so WHERE id = N is a full table scan: MySQL reads every row and compares id. Without LIMIT it cannot stop early (id is not known to be unique), so row 10 and row 1,000,000 cost the same: O(n).</t>
  </si>
  <si>
    <t xml:space="preserve">Hidden row id</t>
  </si>
  <si>
    <t xml:space="preserve">A table without a PK is still clustered - InnoDB adds a hidden 6-byte DB_ROW_ID and builds the clustered index on it. That index is useless for WHERE id = N.</t>
  </si>
  <si>
    <t xml:space="preserve">Inserts</t>
  </si>
  <si>
    <t xml:space="preserve">With increasing ids, a PK insert appends to the right end of the B+tree (cheap). A random PK (e.g. UUID) would cause page splits and slower inserts; a table with extra secondary indexes would also insert more slowly.</t>
  </si>
  <si>
    <t xml:space="preserve">Caveat</t>
  </si>
  <si>
    <t xml:space="preserve">Absolute times depend on the machine (CPU, SSD, RAM, buffer pool). Compare the ratio between the two tables, not the raw milliseconds, when you rerun it on another laptop.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</si>
</sst>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00"/>
    <numFmt numFmtId="166" formatCode="#,##0.0\×"/>
    <numFmt numFmtId="167" formatCode="#,##0"/>
    <numFmt numFmtId="168" formatCode="\+0.0%;\-0.0%;0.0%"/>
    <numFmt numFmtId="169" formatCode="0"/>
    <numFmt numFmtId="170" formatCode="#,##0.00"/>
    <numFmt numFmtId="171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F"/>
      <name val="Arial"/>
      <family val="0"/>
      <charset val="1"/>
    </font>
    <font>
      <i val="true"/>
      <sz val="10"/>
      <color rgb="FF5F5E5A"/>
      <name val="Arial"/>
      <family val="0"/>
      <charset val="1"/>
    </font>
    <font>
      <b val="true"/>
      <sz val="9"/>
      <color rgb="FF2E6B3A"/>
      <name val="Arial"/>
      <family val="0"/>
      <charset val="1"/>
    </font>
    <font>
      <b val="true"/>
      <sz val="12"/>
      <color rgb="FF1F1F1F"/>
      <name val="Arial"/>
      <family val="0"/>
      <charset val="1"/>
    </font>
    <font>
      <sz val="10"/>
      <color rgb="FF1F1F1F"/>
      <name val="Arial"/>
      <family val="0"/>
      <charset val="1"/>
    </font>
    <font>
      <b val="true"/>
      <sz val="11"/>
      <color rgb="FF1F1F1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1F1F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0"/>
      <color rgb="FF1F1F1F"/>
      <name val="Arial"/>
      <family val="0"/>
      <charset val="1"/>
    </font>
    <font>
      <sz val="9"/>
      <color rgb="FF1F1F1F"/>
      <name val="Courier Ne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3B4C"/>
        <bgColor rgb="FF333399"/>
      </patternFill>
    </fill>
    <fill>
      <patternFill patternType="solid">
        <fgColor rgb="FFE3EEFB"/>
        <bgColor rgb="FFE3F1E6"/>
      </patternFill>
    </fill>
    <fill>
      <patternFill patternType="solid">
        <fgColor rgb="FFFCE8DF"/>
        <bgColor rgb="FFE3F1E6"/>
      </patternFill>
    </fill>
    <fill>
      <patternFill patternType="solid">
        <fgColor rgb="FFE3F1E6"/>
        <bgColor rgb="FFE3EEF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CC"/>
      </left>
      <right style="thin">
        <color rgb="FFD0D0CC"/>
      </right>
      <top style="thin">
        <color rgb="FFD0D0CC"/>
      </top>
      <bottom style="thin">
        <color rgb="FFD0D0CC"/>
      </bottom>
      <diagonal/>
    </border>
    <border diagonalUp="false" diagonalDown="false">
      <left style="thin">
        <color rgb="FFD0D0CC"/>
      </left>
      <right/>
      <top style="thin">
        <color rgb="FFD0D0CC"/>
      </top>
      <bottom style="thin">
        <color rgb="FFD0D0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3B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1F1F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E6B3A"/>
      <rgbColor rgb="FF000080"/>
      <rgbColor rgb="FF808000"/>
      <rgbColor rgb="FF800080"/>
      <rgbColor rgb="FF008080"/>
      <rgbColor rgb="FFD0D0CC"/>
      <rgbColor rgb="FF878787"/>
      <rgbColor rgb="FF9999FF"/>
      <rgbColor rgb="FF993366"/>
      <rgbColor rgb="FFFCE8DF"/>
      <rgbColor rgb="FFE3EE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1E6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F5E5A"/>
      <rgbColor rgb="FF969696"/>
      <rgbColor rgb="FF003366"/>
      <rgbColor rgb="FF339966"/>
      <rgbColor rgb="FF003300"/>
      <rgbColor rgb="FF1F1F1F"/>
      <rgbColor rgb="FF993300"/>
      <rgbColor rgb="FF993366"/>
      <rgbColor rgb="FF333399"/>
      <rgbColor rgb="FF2F3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SELECT one row by id (ms, 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Summary!B12</c:f>
              <c:strCache>
                <c:ptCount val="1"/>
                <c:pt idx="0">
                  <c:v>With PK (ms)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id = 10</c:v>
                </c:pt>
                <c:pt idx="1">
                  <c:v>id = 1,000</c:v>
                </c:pt>
                <c:pt idx="2">
                  <c:v>id = 10,000</c:v>
                </c:pt>
                <c:pt idx="3">
                  <c:v>id = 100,000</c:v>
                </c:pt>
                <c:pt idx="4">
                  <c:v>id = 1,000,000</c:v>
                </c:pt>
              </c:strCache>
            </c:strRef>
          </c:cat>
          <c:val>
            <c:numRef>
              <c:f>Summary!$B$13:$B$17</c:f>
              <c:numCache>
                <c:formatCode>#,##0.000</c:formatCode>
                <c:ptCount val="5"/>
                <c:pt idx="0">
                  <c:v>0.721221999924637</c:v>
                </c:pt>
                <c:pt idx="1">
                  <c:v>0.716366999995444</c:v>
                </c:pt>
                <c:pt idx="2">
                  <c:v>1.05995000001258</c:v>
                </c:pt>
                <c:pt idx="3">
                  <c:v>0.704117999930531</c:v>
                </c:pt>
                <c:pt idx="4">
                  <c:v>0.792620000027</c:v>
                </c:pt>
              </c:numCache>
            </c:numRef>
          </c:val>
        </c:ser>
        <c:ser>
          <c:idx val="1"/>
          <c:order val="1"/>
          <c:tx>
            <c:strRef>
              <c:f>Summary!C12</c:f>
              <c:strCache>
                <c:ptCount val="1"/>
                <c:pt idx="0">
                  <c:v>Without PK (ms)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Summary!$A$13:$A$17</c:f>
              <c:strCache>
                <c:ptCount val="5"/>
                <c:pt idx="0">
                  <c:v>id = 10</c:v>
                </c:pt>
                <c:pt idx="1">
                  <c:v>id = 1,000</c:v>
                </c:pt>
                <c:pt idx="2">
                  <c:v>id = 10,000</c:v>
                </c:pt>
                <c:pt idx="3">
                  <c:v>id = 100,000</c:v>
                </c:pt>
                <c:pt idx="4">
                  <c:v>id = 1,000,000</c:v>
                </c:pt>
              </c:strCache>
            </c:strRef>
          </c:cat>
          <c:val>
            <c:numRef>
              <c:f>Summary!$C$13:$C$17</c:f>
              <c:numCache>
                <c:formatCode>#,##0.000</c:formatCode>
                <c:ptCount val="5"/>
                <c:pt idx="0">
                  <c:v>1180.78142599995</c:v>
                </c:pt>
                <c:pt idx="1">
                  <c:v>841.351248000024</c:v>
                </c:pt>
                <c:pt idx="2">
                  <c:v>1177.87916899999</c:v>
                </c:pt>
                <c:pt idx="3">
                  <c:v>908.851511999956</c:v>
                </c:pt>
                <c:pt idx="4">
                  <c:v>1080.15677900005</c:v>
                </c:pt>
              </c:numCache>
            </c:numRef>
          </c:val>
        </c:ser>
        <c:gapWidth val="60"/>
        <c:overlap val="-5"/>
        <c:axId val="80156463"/>
        <c:axId val="3537677"/>
      </c:barChart>
      <c:catAx>
        <c:axId val="801564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 id searched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37677"/>
        <c:crosses val="autoZero"/>
        <c:auto val="1"/>
        <c:lblAlgn val="ctr"/>
        <c:lblOffset val="100"/>
        <c:noMultiLvlLbl val="0"/>
      </c:catAx>
      <c:valAx>
        <c:axId val="353767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(ms, 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1564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INSERT time per batch (seconds)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Summary!D20</c:f>
              <c:strCache>
                <c:ptCount val="1"/>
                <c:pt idx="0">
                  <c:v>With PK (s)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Insert 20,000 rows</c:v>
                </c:pt>
                <c:pt idx="1">
                  <c:v>Insert 40,000 rows</c:v>
                </c:pt>
                <c:pt idx="2">
                  <c:v>Insert 60,000 rows</c:v>
                </c:pt>
                <c:pt idx="3">
                  <c:v>Insert 100,000 rows</c:v>
                </c:pt>
              </c:strCache>
            </c:strRef>
          </c:cat>
          <c:val>
            <c:numRef>
              <c:f>Summary!$D$21:$D$24</c:f>
              <c:numCache>
                <c:formatCode>#,##0.000</c:formatCode>
                <c:ptCount val="4"/>
                <c:pt idx="0">
                  <c:v>0.798594783999988</c:v>
                </c:pt>
                <c:pt idx="1">
                  <c:v>1.43643765100001</c:v>
                </c:pt>
                <c:pt idx="2">
                  <c:v>2.93526346700003</c:v>
                </c:pt>
                <c:pt idx="3">
                  <c:v>3.56671292800002</c:v>
                </c:pt>
              </c:numCache>
            </c:numRef>
          </c:val>
        </c:ser>
        <c:ser>
          <c:idx val="1"/>
          <c:order val="1"/>
          <c:tx>
            <c:strRef>
              <c:f>Summary!E20</c:f>
              <c:strCache>
                <c:ptCount val="1"/>
                <c:pt idx="0">
                  <c:v>Without PK (s)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Summary!$A$21:$A$24</c:f>
              <c:strCache>
                <c:ptCount val="4"/>
                <c:pt idx="0">
                  <c:v>Insert 20,000 rows</c:v>
                </c:pt>
                <c:pt idx="1">
                  <c:v>Insert 40,000 rows</c:v>
                </c:pt>
                <c:pt idx="2">
                  <c:v>Insert 60,000 rows</c:v>
                </c:pt>
                <c:pt idx="3">
                  <c:v>Insert 100,000 rows</c:v>
                </c:pt>
              </c:strCache>
            </c:strRef>
          </c:cat>
          <c:val>
            <c:numRef>
              <c:f>Summary!$E$21:$E$24</c:f>
              <c:numCache>
                <c:formatCode>#,##0.000</c:formatCode>
                <c:ptCount val="4"/>
                <c:pt idx="0">
                  <c:v>0.708386510999958</c:v>
                </c:pt>
                <c:pt idx="1">
                  <c:v>1.39809351600002</c:v>
                </c:pt>
                <c:pt idx="2">
                  <c:v>2.11868159699998</c:v>
                </c:pt>
                <c:pt idx="3">
                  <c:v>3.53373852200002</c:v>
                </c:pt>
              </c:numCache>
            </c:numRef>
          </c:val>
        </c:ser>
        <c:gapWidth val="60"/>
        <c:overlap val="-5"/>
        <c:axId val="74842173"/>
        <c:axId val="53760062"/>
      </c:barChart>
      <c:catAx>
        <c:axId val="748421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Batch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760062"/>
        <c:crosses val="autoZero"/>
        <c:auto val="1"/>
        <c:lblAlgn val="ctr"/>
        <c:lblOffset val="100"/>
        <c:noMultiLvlLbl val="0"/>
      </c:catAx>
      <c:valAx>
        <c:axId val="537600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(seconds)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84217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With LIMIT 1 (ms, log scale)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'SELECT results'!B35</c:f>
              <c:strCache>
                <c:ptCount val="1"/>
                <c:pt idx="0">
                  <c:v>With PK</c:v>
                </c:pt>
              </c:strCache>
            </c:strRef>
          </c:tx>
          <c:spPr>
            <a:solidFill>
              <a:srgbClr val="2a78d6"/>
            </a:solidFill>
            <a:ln w="0">
              <a:solidFill>
                <a:srgbClr val="2a78d6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'SELECT results'!$A$36:$A$40</c:f>
              <c:strCache>
                <c:ptCount val="5"/>
                <c:pt idx="0">
                  <c:v>id = 10</c:v>
                </c:pt>
                <c:pt idx="1">
                  <c:v>id = 1,000</c:v>
                </c:pt>
                <c:pt idx="2">
                  <c:v>id = 10,000</c:v>
                </c:pt>
                <c:pt idx="3">
                  <c:v>id = 100,000</c:v>
                </c:pt>
                <c:pt idx="4">
                  <c:v>id = 1,000,000</c:v>
                </c:pt>
              </c:strCache>
            </c:strRef>
          </c:cat>
          <c:val>
            <c:numRef>
              <c:f>'SELECT results'!$B$36:$B$40</c:f>
              <c:numCache>
                <c:formatCode>#,##0.000</c:formatCode>
                <c:ptCount val="5"/>
                <c:pt idx="0">
                  <c:v>0.655924000000141</c:v>
                </c:pt>
                <c:pt idx="1">
                  <c:v>0.660939999988841</c:v>
                </c:pt>
                <c:pt idx="2">
                  <c:v>0.694593999924109</c:v>
                </c:pt>
                <c:pt idx="3">
                  <c:v>0.702767000007043</c:v>
                </c:pt>
                <c:pt idx="4">
                  <c:v>0.691519000042717</c:v>
                </c:pt>
              </c:numCache>
            </c:numRef>
          </c:val>
        </c:ser>
        <c:ser>
          <c:idx val="1"/>
          <c:order val="1"/>
          <c:tx>
            <c:strRef>
              <c:f>'SELECT results'!C35</c:f>
              <c:strCache>
                <c:ptCount val="1"/>
                <c:pt idx="0">
                  <c:v>Without PK</c:v>
                </c:pt>
              </c:strCache>
            </c:strRef>
          </c:tx>
          <c:spPr>
            <a:solidFill>
              <a:srgbClr val="eb6834"/>
            </a:solidFill>
            <a:ln w="0">
              <a:solidFill>
                <a:srgbClr val="eb683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'SELECT results'!$A$36:$A$40</c:f>
              <c:strCache>
                <c:ptCount val="5"/>
                <c:pt idx="0">
                  <c:v>id = 10</c:v>
                </c:pt>
                <c:pt idx="1">
                  <c:v>id = 1,000</c:v>
                </c:pt>
                <c:pt idx="2">
                  <c:v>id = 10,000</c:v>
                </c:pt>
                <c:pt idx="3">
                  <c:v>id = 100,000</c:v>
                </c:pt>
                <c:pt idx="4">
                  <c:v>id = 1,000,000</c:v>
                </c:pt>
              </c:strCache>
            </c:strRef>
          </c:cat>
          <c:val>
            <c:numRef>
              <c:f>'SELECT results'!$C$36:$C$40</c:f>
              <c:numCache>
                <c:formatCode>#,##0.000</c:formatCode>
                <c:ptCount val="5"/>
                <c:pt idx="0">
                  <c:v>0.712915999997676</c:v>
                </c:pt>
                <c:pt idx="1">
                  <c:v>1.6079780000382</c:v>
                </c:pt>
                <c:pt idx="2">
                  <c:v>8.2719750000706</c:v>
                </c:pt>
                <c:pt idx="3">
                  <c:v>92.2193729999208</c:v>
                </c:pt>
                <c:pt idx="4">
                  <c:v>853.923409000004</c:v>
                </c:pt>
              </c:numCache>
            </c:numRef>
          </c:val>
        </c:ser>
        <c:gapWidth val="60"/>
        <c:overlap val="-5"/>
        <c:axId val="22412863"/>
        <c:axId val="69418843"/>
      </c:barChart>
      <c:catAx>
        <c:axId val="224128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Row id searched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418843"/>
        <c:crosses val="autoZero"/>
        <c:auto val="1"/>
        <c:lblAlgn val="ctr"/>
        <c:lblOffset val="100"/>
        <c:noMultiLvlLbl val="0"/>
      </c:catAx>
      <c:valAx>
        <c:axId val="6941884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(ms, 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128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4320</xdr:colOff>
      <xdr:row>10</xdr:row>
      <xdr:rowOff>124920</xdr:rowOff>
    </xdr:to>
    <xdr:graphicFrame>
      <xdr:nvGraphicFramePr>
        <xdr:cNvPr id="0" name="Chart 1"/>
        <xdr:cNvGraphicFramePr/>
      </xdr:nvGraphicFramePr>
      <xdr:xfrm>
        <a:off x="7800840" y="571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19</xdr:row>
      <xdr:rowOff>238680</xdr:rowOff>
    </xdr:from>
    <xdr:to>
      <xdr:col>17</xdr:col>
      <xdr:colOff>4320</xdr:colOff>
      <xdr:row>35</xdr:row>
      <xdr:rowOff>4680</xdr:rowOff>
    </xdr:to>
    <xdr:graphicFrame>
      <xdr:nvGraphicFramePr>
        <xdr:cNvPr id="1" name="Chart 2"/>
        <xdr:cNvGraphicFramePr/>
      </xdr:nvGraphicFramePr>
      <xdr:xfrm>
        <a:off x="7800840" y="55720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31</xdr:row>
      <xdr:rowOff>14040</xdr:rowOff>
    </xdr:from>
    <xdr:to>
      <xdr:col>11</xdr:col>
      <xdr:colOff>151560</xdr:colOff>
      <xdr:row>47</xdr:row>
      <xdr:rowOff>25920</xdr:rowOff>
    </xdr:to>
    <xdr:graphicFrame>
      <xdr:nvGraphicFramePr>
        <xdr:cNvPr id="2" name="Chart 1"/>
        <xdr:cNvGraphicFramePr/>
      </xdr:nvGraphicFramePr>
      <xdr:xfrm>
        <a:off x="3524400" y="628668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</row>
    <row r="5" customFormat="false" ht="39.75" hidden="false" customHeight="true" outlineLevel="0" collapsed="false">
      <c r="A5" s="5" t="s">
        <v>4</v>
      </c>
      <c r="B5" s="5"/>
      <c r="C5" s="5"/>
      <c r="D5" s="5"/>
      <c r="E5" s="5"/>
      <c r="F5" s="5"/>
    </row>
    <row r="6" customFormat="false" ht="39.75" hidden="false" customHeight="true" outlineLevel="0" collapsed="false">
      <c r="A6" s="5" t="s">
        <v>5</v>
      </c>
      <c r="B6" s="5"/>
      <c r="C6" s="5"/>
      <c r="D6" s="5"/>
      <c r="E6" s="5"/>
      <c r="F6" s="5"/>
    </row>
    <row r="7" customFormat="false" ht="39.75" hidden="false" customHeight="true" outlineLevel="0" collapsed="false">
      <c r="A7" s="5" t="s">
        <v>6</v>
      </c>
      <c r="B7" s="5"/>
      <c r="C7" s="5"/>
      <c r="D7" s="5"/>
      <c r="E7" s="5"/>
      <c r="F7" s="5"/>
    </row>
    <row r="8" customFormat="false" ht="39.75" hidden="false" customHeight="true" outlineLevel="0" collapsed="false">
      <c r="A8" s="5" t="s">
        <v>7</v>
      </c>
      <c r="B8" s="5"/>
      <c r="C8" s="5"/>
      <c r="D8" s="5"/>
      <c r="E8" s="5"/>
      <c r="F8" s="5"/>
    </row>
    <row r="9" customFormat="false" ht="39.75" hidden="false" customHeight="true" outlineLevel="0" collapsed="false">
      <c r="A9" s="5" t="s">
        <v>8</v>
      </c>
      <c r="B9" s="5"/>
      <c r="C9" s="5"/>
      <c r="D9" s="5"/>
      <c r="E9" s="5"/>
      <c r="F9" s="5"/>
    </row>
    <row r="11" customFormat="false" ht="15" hidden="false" customHeight="false" outlineLevel="0" collapsed="false">
      <c r="A11" s="6" t="s">
        <v>9</v>
      </c>
    </row>
    <row r="12" customFormat="false" ht="23.85" hidden="false" customHeight="false" outlineLevel="0" collapsed="false">
      <c r="A12" s="7" t="s">
        <v>10</v>
      </c>
      <c r="B12" s="7" t="s">
        <v>11</v>
      </c>
      <c r="C12" s="7" t="s">
        <v>12</v>
      </c>
      <c r="D12" s="7" t="s">
        <v>13</v>
      </c>
      <c r="E12" s="7" t="s">
        <v>14</v>
      </c>
      <c r="F12" s="7" t="s">
        <v>15</v>
      </c>
    </row>
    <row r="13" customFormat="false" ht="15" hidden="false" customHeight="false" outlineLevel="0" collapsed="false">
      <c r="A13" s="8" t="s">
        <v>16</v>
      </c>
      <c r="B13" s="9" t="n">
        <f aca="false">'SELECT results'!E7</f>
        <v>0.721221999924637</v>
      </c>
      <c r="C13" s="10" t="n">
        <f aca="false">'SELECT results'!I7</f>
        <v>1180.78142599995</v>
      </c>
      <c r="D13" s="11" t="n">
        <f aca="false">C13/B13</f>
        <v>1637.19551833324</v>
      </c>
      <c r="E13" s="12" t="n">
        <f aca="false">'Rows read (EXPLAIN)'!I5</f>
        <v>1</v>
      </c>
      <c r="F13" s="12" t="n">
        <f aca="false">'Rows read (EXPLAIN)'!I10</f>
        <v>1000001</v>
      </c>
    </row>
    <row r="14" customFormat="false" ht="15" hidden="false" customHeight="false" outlineLevel="0" collapsed="false">
      <c r="A14" s="8" t="s">
        <v>17</v>
      </c>
      <c r="B14" s="9" t="n">
        <f aca="false">'SELECT results'!E8</f>
        <v>0.716366999995444</v>
      </c>
      <c r="C14" s="10" t="n">
        <f aca="false">'SELECT results'!I8</f>
        <v>841.351248000024</v>
      </c>
      <c r="D14" s="11" t="n">
        <f aca="false">C14/B14</f>
        <v>1174.46957775187</v>
      </c>
      <c r="E14" s="12" t="n">
        <f aca="false">'Rows read (EXPLAIN)'!I6</f>
        <v>1</v>
      </c>
      <c r="F14" s="12" t="n">
        <f aca="false">'Rows read (EXPLAIN)'!I11</f>
        <v>1000001</v>
      </c>
    </row>
    <row r="15" customFormat="false" ht="15" hidden="false" customHeight="false" outlineLevel="0" collapsed="false">
      <c r="A15" s="8" t="s">
        <v>18</v>
      </c>
      <c r="B15" s="9" t="n">
        <f aca="false">'SELECT results'!E9</f>
        <v>1.05995000001258</v>
      </c>
      <c r="C15" s="10" t="n">
        <f aca="false">'SELECT results'!I9</f>
        <v>1177.87916899999</v>
      </c>
      <c r="D15" s="11" t="n">
        <f aca="false">C15/B15</f>
        <v>1111.25918108026</v>
      </c>
      <c r="E15" s="12" t="n">
        <f aca="false">'Rows read (EXPLAIN)'!I7</f>
        <v>1</v>
      </c>
      <c r="F15" s="12" t="n">
        <f aca="false">'Rows read (EXPLAIN)'!I12</f>
        <v>1000001</v>
      </c>
    </row>
    <row r="16" customFormat="false" ht="15" hidden="false" customHeight="false" outlineLevel="0" collapsed="false">
      <c r="A16" s="8" t="s">
        <v>19</v>
      </c>
      <c r="B16" s="9" t="n">
        <f aca="false">'SELECT results'!E10</f>
        <v>0.704117999930531</v>
      </c>
      <c r="C16" s="10" t="n">
        <f aca="false">'SELECT results'!I10</f>
        <v>908.851511999956</v>
      </c>
      <c r="D16" s="11" t="n">
        <f aca="false">C16/B16</f>
        <v>1290.76591152282</v>
      </c>
      <c r="E16" s="12" t="n">
        <f aca="false">'Rows read (EXPLAIN)'!I8</f>
        <v>1</v>
      </c>
      <c r="F16" s="12" t="n">
        <f aca="false">'Rows read (EXPLAIN)'!I13</f>
        <v>1000001</v>
      </c>
    </row>
    <row r="17" customFormat="false" ht="15" hidden="false" customHeight="false" outlineLevel="0" collapsed="false">
      <c r="A17" s="8" t="s">
        <v>20</v>
      </c>
      <c r="B17" s="9" t="n">
        <f aca="false">'SELECT results'!E11</f>
        <v>0.792620000027</v>
      </c>
      <c r="C17" s="10" t="n">
        <f aca="false">'SELECT results'!I11</f>
        <v>1080.15677900005</v>
      </c>
      <c r="D17" s="11" t="n">
        <f aca="false">C17/B17</f>
        <v>1362.7675039278</v>
      </c>
      <c r="E17" s="12" t="n">
        <f aca="false">'Rows read (EXPLAIN)'!I9</f>
        <v>1</v>
      </c>
      <c r="F17" s="12" t="n">
        <f aca="false">'Rows read (EXPLAIN)'!I14</f>
        <v>1000001</v>
      </c>
    </row>
    <row r="19" customFormat="false" ht="15" hidden="false" customHeight="false" outlineLevel="0" collapsed="false">
      <c r="A19" s="6" t="s">
        <v>21</v>
      </c>
    </row>
    <row r="20" customFormat="false" ht="23.85" hidden="false" customHeight="false" outlineLevel="0" collapsed="false">
      <c r="A20" s="7" t="s">
        <v>22</v>
      </c>
      <c r="B20" s="7" t="s">
        <v>23</v>
      </c>
      <c r="C20" s="7" t="s">
        <v>24</v>
      </c>
      <c r="D20" s="7" t="s">
        <v>25</v>
      </c>
      <c r="E20" s="7" t="s">
        <v>26</v>
      </c>
      <c r="F20" s="7" t="s">
        <v>27</v>
      </c>
    </row>
    <row r="21" customFormat="false" ht="15" hidden="false" customHeight="false" outlineLevel="0" collapsed="false">
      <c r="A21" s="8" t="s">
        <v>28</v>
      </c>
      <c r="B21" s="12" t="n">
        <v>20000</v>
      </c>
      <c r="C21" s="12" t="n">
        <v>1020000</v>
      </c>
      <c r="D21" s="9" t="n">
        <f aca="false">'INSERT results'!G7</f>
        <v>0.798594783999988</v>
      </c>
      <c r="E21" s="10" t="n">
        <f aca="false">'INSERT results'!K7</f>
        <v>0.708386510999958</v>
      </c>
      <c r="F21" s="13" t="n">
        <f aca="false">(E21-D21)/D21</f>
        <v>-0.112958755563362</v>
      </c>
    </row>
    <row r="22" customFormat="false" ht="15" hidden="false" customHeight="false" outlineLevel="0" collapsed="false">
      <c r="A22" s="8" t="s">
        <v>29</v>
      </c>
      <c r="B22" s="12" t="n">
        <v>40000</v>
      </c>
      <c r="C22" s="12" t="n">
        <v>1060000</v>
      </c>
      <c r="D22" s="9" t="n">
        <f aca="false">'INSERT results'!G8</f>
        <v>1.43643765100001</v>
      </c>
      <c r="E22" s="10" t="n">
        <f aca="false">'INSERT results'!K8</f>
        <v>1.39809351600002</v>
      </c>
      <c r="F22" s="13" t="n">
        <f aca="false">(E22-D22)/D22</f>
        <v>-0.0266939083456181</v>
      </c>
    </row>
    <row r="23" customFormat="false" ht="15" hidden="false" customHeight="false" outlineLevel="0" collapsed="false">
      <c r="A23" s="8" t="s">
        <v>30</v>
      </c>
      <c r="B23" s="12" t="n">
        <v>60000</v>
      </c>
      <c r="C23" s="12" t="n">
        <v>1120000</v>
      </c>
      <c r="D23" s="9" t="n">
        <f aca="false">'INSERT results'!G9</f>
        <v>2.93526346700003</v>
      </c>
      <c r="E23" s="10" t="n">
        <f aca="false">'INSERT results'!K9</f>
        <v>2.11868159699998</v>
      </c>
      <c r="F23" s="13" t="n">
        <f aca="false">(E23-D23)/D23</f>
        <v>-0.278197129211925</v>
      </c>
    </row>
    <row r="24" customFormat="false" ht="15" hidden="false" customHeight="false" outlineLevel="0" collapsed="false">
      <c r="A24" s="8" t="s">
        <v>31</v>
      </c>
      <c r="B24" s="12" t="n">
        <v>100000</v>
      </c>
      <c r="C24" s="12" t="n">
        <v>1220000</v>
      </c>
      <c r="D24" s="9" t="n">
        <f aca="false">'INSERT results'!G10</f>
        <v>3.56671292800002</v>
      </c>
      <c r="E24" s="10" t="n">
        <f aca="false">'INSERT results'!K10</f>
        <v>3.53373852200002</v>
      </c>
      <c r="F24" s="13" t="n">
        <f aca="false">(E24-D24)/D24</f>
        <v>-0.0092450406482486</v>
      </c>
    </row>
    <row r="25" customFormat="false" ht="15" hidden="false" customHeight="false" outlineLevel="0" collapsed="false">
      <c r="A25" s="8" t="s">
        <v>32</v>
      </c>
      <c r="B25" s="12" t="n">
        <v>1000000</v>
      </c>
      <c r="C25" s="12" t="n">
        <v>1000000</v>
      </c>
      <c r="D25" s="9" t="n">
        <f aca="false">'INSERT results'!G6</f>
        <v>55.823336436</v>
      </c>
      <c r="E25" s="10" t="n">
        <f aca="false">'INSERT results'!K6</f>
        <v>54.635121221</v>
      </c>
      <c r="F25" s="13" t="n">
        <f aca="false">(E25-D25)/D25</f>
        <v>-0.0212852776430206</v>
      </c>
    </row>
    <row r="27" customFormat="false" ht="25.5" hidden="false" customHeight="true" outlineLevel="0" collapsed="false">
      <c r="A27" s="14" t="s">
        <v>33</v>
      </c>
      <c r="B27" s="14"/>
      <c r="C27" s="14"/>
      <c r="D27" s="14"/>
      <c r="E27" s="14"/>
      <c r="F27" s="14"/>
    </row>
  </sheetData>
  <mergeCells count="6">
    <mergeCell ref="A5:F5"/>
    <mergeCell ref="A6:F6"/>
    <mergeCell ref="A7:F7"/>
    <mergeCell ref="A8:F8"/>
    <mergeCell ref="A9:F9"/>
    <mergeCell ref="A27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70"/>
    <col collapsed="false" customWidth="true" hidden="false" outlineLevel="0" max="4" min="4" style="0" width="3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7" t="s">
        <v>36</v>
      </c>
      <c r="B4" s="7" t="s">
        <v>37</v>
      </c>
      <c r="C4" s="7" t="s">
        <v>38</v>
      </c>
      <c r="D4" s="7" t="s">
        <v>39</v>
      </c>
      <c r="E4" s="7" t="s">
        <v>40</v>
      </c>
    </row>
    <row r="5" customFormat="false" ht="61.5" hidden="false" customHeight="true" outlineLevel="0" collapsed="false">
      <c r="A5" s="15" t="n">
        <v>1</v>
      </c>
      <c r="B5" s="16" t="s">
        <v>41</v>
      </c>
      <c r="C5" s="17" t="s">
        <v>42</v>
      </c>
      <c r="D5" s="17" t="s">
        <v>43</v>
      </c>
      <c r="E5" s="18" t="s">
        <v>44</v>
      </c>
    </row>
    <row r="6" customFormat="false" ht="61.5" hidden="false" customHeight="true" outlineLevel="0" collapsed="false">
      <c r="A6" s="15" t="n">
        <v>2</v>
      </c>
      <c r="B6" s="16" t="s">
        <v>45</v>
      </c>
      <c r="C6" s="17" t="s">
        <v>46</v>
      </c>
      <c r="D6" s="17" t="s">
        <v>47</v>
      </c>
      <c r="E6" s="18" t="s">
        <v>44</v>
      </c>
    </row>
    <row r="7" customFormat="false" ht="61.5" hidden="false" customHeight="true" outlineLevel="0" collapsed="false">
      <c r="A7" s="15" t="n">
        <v>3</v>
      </c>
      <c r="B7" s="16" t="s">
        <v>48</v>
      </c>
      <c r="C7" s="17" t="s">
        <v>49</v>
      </c>
      <c r="D7" s="17" t="s">
        <v>50</v>
      </c>
      <c r="E7" s="18" t="s">
        <v>44</v>
      </c>
    </row>
    <row r="8" customFormat="false" ht="61.5" hidden="false" customHeight="true" outlineLevel="0" collapsed="false">
      <c r="A8" s="15" t="n">
        <v>4</v>
      </c>
      <c r="B8" s="16" t="s">
        <v>51</v>
      </c>
      <c r="C8" s="17" t="s">
        <v>52</v>
      </c>
      <c r="D8" s="17" t="s">
        <v>53</v>
      </c>
      <c r="E8" s="18" t="s">
        <v>44</v>
      </c>
    </row>
    <row r="9" customFormat="false" ht="61.5" hidden="false" customHeight="true" outlineLevel="0" collapsed="false">
      <c r="A9" s="15" t="n">
        <v>5</v>
      </c>
      <c r="B9" s="16" t="s">
        <v>54</v>
      </c>
      <c r="C9" s="17" t="s">
        <v>55</v>
      </c>
      <c r="D9" s="17" t="s">
        <v>56</v>
      </c>
      <c r="E9" s="18" t="s">
        <v>44</v>
      </c>
    </row>
    <row r="10" customFormat="false" ht="61.5" hidden="false" customHeight="true" outlineLevel="0" collapsed="false">
      <c r="A10" s="15" t="n">
        <v>6</v>
      </c>
      <c r="B10" s="16" t="s">
        <v>57</v>
      </c>
      <c r="C10" s="17" t="s">
        <v>58</v>
      </c>
      <c r="D10" s="17" t="s">
        <v>56</v>
      </c>
      <c r="E10" s="18" t="s">
        <v>44</v>
      </c>
    </row>
    <row r="12" customFormat="false" ht="27.75" hidden="false" customHeight="true" outlineLevel="0" collapsed="false">
      <c r="A12" s="14" t="s">
        <v>59</v>
      </c>
      <c r="B12" s="14"/>
      <c r="C12" s="14"/>
      <c r="D12" s="14"/>
      <c r="E12" s="14"/>
    </row>
    <row r="13" customFormat="false" ht="27.75" hidden="false" customHeight="true" outlineLevel="0" collapsed="false">
      <c r="A13" s="14" t="s">
        <v>60</v>
      </c>
      <c r="B13" s="14"/>
      <c r="C13" s="14"/>
      <c r="D13" s="14"/>
      <c r="E13" s="14"/>
    </row>
    <row r="14" customFormat="false" ht="27.75" hidden="false" customHeight="true" outlineLevel="0" collapsed="false">
      <c r="A14" s="14" t="s">
        <v>61</v>
      </c>
      <c r="B14" s="14"/>
      <c r="C14" s="14"/>
      <c r="D14" s="14"/>
      <c r="E14" s="14"/>
    </row>
  </sheetData>
  <mergeCells count="3">
    <mergeCell ref="A12:E12"/>
    <mergeCell ref="A13:E13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9" min="2" style="0" width="12"/>
    <col collapsed="false" customWidth="true" hidden="false" outlineLevel="0" max="10" min="10" style="0" width="16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2" t="s">
        <v>63</v>
      </c>
    </row>
    <row r="4" customFormat="false" ht="15" hidden="false" customHeight="false" outlineLevel="0" collapsed="false">
      <c r="A4" s="6" t="s">
        <v>64</v>
      </c>
    </row>
    <row r="5" customFormat="false" ht="15" hidden="false" customHeight="false" outlineLevel="0" collapsed="false">
      <c r="B5" s="19" t="s">
        <v>65</v>
      </c>
      <c r="C5" s="19"/>
      <c r="D5" s="19"/>
      <c r="E5" s="19"/>
      <c r="F5" s="20" t="s">
        <v>66</v>
      </c>
      <c r="G5" s="20"/>
      <c r="H5" s="20"/>
      <c r="I5" s="20"/>
    </row>
    <row r="6" customFormat="false" ht="23.85" hidden="false" customHeight="false" outlineLevel="0" collapsed="false">
      <c r="A6" s="7" t="s">
        <v>67</v>
      </c>
      <c r="B6" s="7" t="s">
        <v>68</v>
      </c>
      <c r="C6" s="7" t="s">
        <v>69</v>
      </c>
      <c r="D6" s="7" t="s">
        <v>70</v>
      </c>
      <c r="E6" s="7" t="s">
        <v>71</v>
      </c>
      <c r="F6" s="7" t="s">
        <v>68</v>
      </c>
      <c r="G6" s="7" t="s">
        <v>69</v>
      </c>
      <c r="H6" s="7" t="s">
        <v>70</v>
      </c>
      <c r="I6" s="7" t="s">
        <v>71</v>
      </c>
      <c r="J6" s="7" t="s">
        <v>13</v>
      </c>
    </row>
    <row r="7" customFormat="false" ht="15" hidden="false" customHeight="false" outlineLevel="0" collapsed="false">
      <c r="A7" s="21" t="n">
        <v>10</v>
      </c>
      <c r="B7" s="22" t="n">
        <f aca="false">MEDIAN('Raw SELECT'!H5:H9)</f>
        <v>1.02436300005593</v>
      </c>
      <c r="C7" s="22" t="n">
        <f aca="false">MEDIAN('Raw SELECT'!H55:H59)</f>
        <v>0.656735000006847</v>
      </c>
      <c r="D7" s="22" t="n">
        <f aca="false">MEDIAN('Raw SELECT'!H105:H109)</f>
        <v>0.721221999924637</v>
      </c>
      <c r="E7" s="23" t="n">
        <f aca="false">MEDIAN(B7:D7)</f>
        <v>0.721221999924637</v>
      </c>
      <c r="F7" s="22" t="n">
        <f aca="false">MEDIAN('Raw SELECT'!H10:H14)</f>
        <v>916.048324999963</v>
      </c>
      <c r="G7" s="22" t="n">
        <f aca="false">MEDIAN('Raw SELECT'!H60:H64)</f>
        <v>2480.93608699998</v>
      </c>
      <c r="H7" s="22" t="n">
        <f aca="false">MEDIAN('Raw SELECT'!H110:H114)</f>
        <v>1180.78142599995</v>
      </c>
      <c r="I7" s="24" t="n">
        <f aca="false">MEDIAN(F7:H7)</f>
        <v>1180.78142599995</v>
      </c>
      <c r="J7" s="11" t="n">
        <f aca="false">I7/E7</f>
        <v>1637.19551833324</v>
      </c>
    </row>
    <row r="8" customFormat="false" ht="15" hidden="false" customHeight="false" outlineLevel="0" collapsed="false">
      <c r="A8" s="21" t="n">
        <v>1000</v>
      </c>
      <c r="B8" s="22" t="n">
        <f aca="false">MEDIAN('Raw SELECT'!H15:H19)</f>
        <v>0.657288000013523</v>
      </c>
      <c r="C8" s="22" t="n">
        <f aca="false">MEDIAN('Raw SELECT'!H65:H69)</f>
        <v>0.783257000023241</v>
      </c>
      <c r="D8" s="22" t="n">
        <f aca="false">MEDIAN('Raw SELECT'!H115:H119)</f>
        <v>0.716366999995444</v>
      </c>
      <c r="E8" s="23" t="n">
        <f aca="false">MEDIAN(B8:D8)</f>
        <v>0.716366999995444</v>
      </c>
      <c r="F8" s="22" t="n">
        <f aca="false">MEDIAN('Raw SELECT'!H20:H24)</f>
        <v>841.351248000024</v>
      </c>
      <c r="G8" s="22" t="n">
        <f aca="false">MEDIAN('Raw SELECT'!H70:H74)</f>
        <v>1798.68929899999</v>
      </c>
      <c r="H8" s="22" t="n">
        <f aca="false">MEDIAN('Raw SELECT'!H120:H124)</f>
        <v>815.654943999903</v>
      </c>
      <c r="I8" s="24" t="n">
        <f aca="false">MEDIAN(F8:H8)</f>
        <v>841.351248000024</v>
      </c>
      <c r="J8" s="11" t="n">
        <f aca="false">I8/E8</f>
        <v>1174.46957775187</v>
      </c>
    </row>
    <row r="9" customFormat="false" ht="15" hidden="false" customHeight="false" outlineLevel="0" collapsed="false">
      <c r="A9" s="21" t="n">
        <v>10000</v>
      </c>
      <c r="B9" s="22" t="n">
        <f aca="false">MEDIAN('Raw SELECT'!H25:H29)</f>
        <v>0.661329999957161</v>
      </c>
      <c r="C9" s="22" t="n">
        <f aca="false">MEDIAN('Raw SELECT'!H75:H79)</f>
        <v>2.47476099997357</v>
      </c>
      <c r="D9" s="22" t="n">
        <f aca="false">MEDIAN('Raw SELECT'!H125:H129)</f>
        <v>1.05995000001258</v>
      </c>
      <c r="E9" s="23" t="n">
        <f aca="false">MEDIAN(B9:D9)</f>
        <v>1.05995000001258</v>
      </c>
      <c r="F9" s="22" t="n">
        <f aca="false">MEDIAN('Raw SELECT'!H30:H34)</f>
        <v>773.938698999984</v>
      </c>
      <c r="G9" s="22" t="n">
        <f aca="false">MEDIAN('Raw SELECT'!H80:H84)</f>
        <v>1909.97205400004</v>
      </c>
      <c r="H9" s="22" t="n">
        <f aca="false">MEDIAN('Raw SELECT'!H130:H134)</f>
        <v>1177.87916899999</v>
      </c>
      <c r="I9" s="24" t="n">
        <f aca="false">MEDIAN(F9:H9)</f>
        <v>1177.87916899999</v>
      </c>
      <c r="J9" s="11" t="n">
        <f aca="false">I9/E9</f>
        <v>1111.25918108026</v>
      </c>
    </row>
    <row r="10" customFormat="false" ht="15" hidden="false" customHeight="false" outlineLevel="0" collapsed="false">
      <c r="A10" s="21" t="n">
        <v>100000</v>
      </c>
      <c r="B10" s="22" t="n">
        <f aca="false">MEDIAN('Raw SELECT'!H35:H39)</f>
        <v>0.638294999987465</v>
      </c>
      <c r="C10" s="22" t="n">
        <f aca="false">MEDIAN('Raw SELECT'!H85:H89)</f>
        <v>0.744662999977663</v>
      </c>
      <c r="D10" s="22" t="n">
        <f aca="false">MEDIAN('Raw SELECT'!H135:H139)</f>
        <v>0.704117999930531</v>
      </c>
      <c r="E10" s="23" t="n">
        <f aca="false">MEDIAN(B10:D10)</f>
        <v>0.704117999930531</v>
      </c>
      <c r="F10" s="22" t="n">
        <f aca="false">MEDIAN('Raw SELECT'!H40:H44)</f>
        <v>809.850283000003</v>
      </c>
      <c r="G10" s="22" t="n">
        <f aca="false">MEDIAN('Raw SELECT'!H90:H94)</f>
        <v>1046.19657900003</v>
      </c>
      <c r="H10" s="22" t="n">
        <f aca="false">MEDIAN('Raw SELECT'!H140:H144)</f>
        <v>908.851511999956</v>
      </c>
      <c r="I10" s="24" t="n">
        <f aca="false">MEDIAN(F10:H10)</f>
        <v>908.851511999956</v>
      </c>
      <c r="J10" s="11" t="n">
        <f aca="false">I10/E10</f>
        <v>1290.76591152282</v>
      </c>
    </row>
    <row r="11" customFormat="false" ht="15" hidden="false" customHeight="false" outlineLevel="0" collapsed="false">
      <c r="A11" s="21" t="n">
        <v>1000000</v>
      </c>
      <c r="B11" s="22" t="n">
        <f aca="false">MEDIAN('Raw SELECT'!H45:H49)</f>
        <v>0.792620000027</v>
      </c>
      <c r="C11" s="22" t="n">
        <f aca="false">MEDIAN('Raw SELECT'!H95:H99)</f>
        <v>1.1298669999178</v>
      </c>
      <c r="D11" s="22" t="n">
        <f aca="false">MEDIAN('Raw SELECT'!H145:H149)</f>
        <v>0.700353000070209</v>
      </c>
      <c r="E11" s="23" t="n">
        <f aca="false">MEDIAN(B11:D11)</f>
        <v>0.792620000027</v>
      </c>
      <c r="F11" s="22" t="n">
        <f aca="false">MEDIAN('Raw SELECT'!H50:H54)</f>
        <v>800.721150000015</v>
      </c>
      <c r="G11" s="22" t="n">
        <f aca="false">MEDIAN('Raw SELECT'!H100:H104)</f>
        <v>1080.15677900005</v>
      </c>
      <c r="H11" s="22" t="n">
        <f aca="false">MEDIAN('Raw SELECT'!H150:H154)</f>
        <v>1695.41993500002</v>
      </c>
      <c r="I11" s="24" t="n">
        <f aca="false">MEDIAN(F11:H11)</f>
        <v>1080.15677900005</v>
      </c>
      <c r="J11" s="11" t="n">
        <f aca="false">I11/E11</f>
        <v>1362.7675039278</v>
      </c>
    </row>
    <row r="14" customFormat="false" ht="15" hidden="false" customHeight="false" outlineLevel="0" collapsed="false">
      <c r="A14" s="6" t="s">
        <v>72</v>
      </c>
    </row>
    <row r="15" customFormat="false" ht="15" hidden="false" customHeight="false" outlineLevel="0" collapsed="false">
      <c r="B15" s="19" t="s">
        <v>65</v>
      </c>
      <c r="C15" s="19"/>
      <c r="D15" s="19"/>
      <c r="E15" s="19"/>
      <c r="F15" s="20" t="s">
        <v>66</v>
      </c>
      <c r="G15" s="20"/>
      <c r="H15" s="20"/>
      <c r="I15" s="20"/>
    </row>
    <row r="16" customFormat="false" ht="23.85" hidden="false" customHeight="false" outlineLevel="0" collapsed="false">
      <c r="A16" s="7" t="s">
        <v>67</v>
      </c>
      <c r="B16" s="7" t="s">
        <v>68</v>
      </c>
      <c r="C16" s="7" t="s">
        <v>69</v>
      </c>
      <c r="D16" s="7" t="s">
        <v>70</v>
      </c>
      <c r="E16" s="7" t="s">
        <v>71</v>
      </c>
      <c r="F16" s="7" t="s">
        <v>68</v>
      </c>
      <c r="G16" s="7" t="s">
        <v>69</v>
      </c>
      <c r="H16" s="7" t="s">
        <v>70</v>
      </c>
      <c r="I16" s="7" t="s">
        <v>71</v>
      </c>
      <c r="J16" s="7" t="s">
        <v>13</v>
      </c>
    </row>
    <row r="17" customFormat="false" ht="15" hidden="false" customHeight="false" outlineLevel="0" collapsed="false">
      <c r="A17" s="21" t="n">
        <v>10</v>
      </c>
      <c r="B17" s="22" t="n">
        <f aca="false">MEDIAN('Raw SELECT'!H155:H159)</f>
        <v>0.655924000000141</v>
      </c>
      <c r="C17" s="22" t="n">
        <f aca="false">MEDIAN('Raw SELECT'!H205:H209)</f>
        <v>0.646332999963306</v>
      </c>
      <c r="D17" s="22" t="n">
        <f aca="false">MEDIAN('Raw SELECT'!H255:H259)</f>
        <v>1.05882299999394</v>
      </c>
      <c r="E17" s="23" t="n">
        <f aca="false">MEDIAN(B17:D17)</f>
        <v>0.655924000000141</v>
      </c>
      <c r="F17" s="22" t="n">
        <f aca="false">MEDIAN('Raw SELECT'!H160:H164)</f>
        <v>0.627113000007284</v>
      </c>
      <c r="G17" s="22" t="n">
        <f aca="false">MEDIAN('Raw SELECT'!H210:H214)</f>
        <v>0.712915999997676</v>
      </c>
      <c r="H17" s="22" t="n">
        <f aca="false">MEDIAN('Raw SELECT'!H260:H264)</f>
        <v>1.64497599996594</v>
      </c>
      <c r="I17" s="24" t="n">
        <f aca="false">MEDIAN(F17:H17)</f>
        <v>0.712915999997676</v>
      </c>
      <c r="J17" s="11" t="n">
        <f aca="false">I17/E17</f>
        <v>1.08688811508273</v>
      </c>
    </row>
    <row r="18" customFormat="false" ht="15" hidden="false" customHeight="false" outlineLevel="0" collapsed="false">
      <c r="A18" s="21" t="n">
        <v>1000</v>
      </c>
      <c r="B18" s="22" t="n">
        <f aca="false">MEDIAN('Raw SELECT'!H165:H169)</f>
        <v>0.639320000004773</v>
      </c>
      <c r="C18" s="22" t="n">
        <f aca="false">MEDIAN('Raw SELECT'!H215:H219)</f>
        <v>0.660939999988841</v>
      </c>
      <c r="D18" s="22" t="n">
        <f aca="false">MEDIAN('Raw SELECT'!H265:H269)</f>
        <v>7.21079900006316</v>
      </c>
      <c r="E18" s="23" t="n">
        <f aca="false">MEDIAN(B18:D18)</f>
        <v>0.660939999988841</v>
      </c>
      <c r="F18" s="22" t="n">
        <f aca="false">MEDIAN('Raw SELECT'!H170:H174)</f>
        <v>1.6079780000382</v>
      </c>
      <c r="G18" s="22" t="n">
        <f aca="false">MEDIAN('Raw SELECT'!H220:H224)</f>
        <v>1.50289300006534</v>
      </c>
      <c r="H18" s="22" t="n">
        <f aca="false">MEDIAN('Raw SELECT'!H270:H274)</f>
        <v>3.00824400005695</v>
      </c>
      <c r="I18" s="24" t="n">
        <f aca="false">MEDIAN(F18:H18)</f>
        <v>1.6079780000382</v>
      </c>
      <c r="J18" s="11" t="n">
        <f aca="false">I18/E18</f>
        <v>2.43286531313788</v>
      </c>
    </row>
    <row r="19" customFormat="false" ht="15" hidden="false" customHeight="false" outlineLevel="0" collapsed="false">
      <c r="A19" s="21" t="n">
        <v>10000</v>
      </c>
      <c r="B19" s="22" t="n">
        <f aca="false">MEDIAN('Raw SELECT'!H175:H179)</f>
        <v>0.681095999993886</v>
      </c>
      <c r="C19" s="22" t="n">
        <f aca="false">MEDIAN('Raw SELECT'!H225:H229)</f>
        <v>0.694593999924109</v>
      </c>
      <c r="D19" s="22" t="n">
        <f aca="false">MEDIAN('Raw SELECT'!H275:H279)</f>
        <v>0.967895000030694</v>
      </c>
      <c r="E19" s="23" t="n">
        <f aca="false">MEDIAN(B19:D19)</f>
        <v>0.694593999924109</v>
      </c>
      <c r="F19" s="22" t="n">
        <f aca="false">MEDIAN('Raw SELECT'!H180:H184)</f>
        <v>8.23961300000065</v>
      </c>
      <c r="G19" s="22" t="n">
        <f aca="false">MEDIAN('Raw SELECT'!H230:H234)</f>
        <v>8.2719750000706</v>
      </c>
      <c r="H19" s="22" t="n">
        <f aca="false">MEDIAN('Raw SELECT'!H280:H284)</f>
        <v>18.9750250000316</v>
      </c>
      <c r="I19" s="24" t="n">
        <f aca="false">MEDIAN(F19:H19)</f>
        <v>8.2719750000706</v>
      </c>
      <c r="J19" s="11" t="n">
        <f aca="false">I19/E19</f>
        <v>11.9090792620932</v>
      </c>
    </row>
    <row r="20" customFormat="false" ht="15" hidden="false" customHeight="false" outlineLevel="0" collapsed="false">
      <c r="A20" s="21" t="n">
        <v>100000</v>
      </c>
      <c r="B20" s="22" t="n">
        <f aca="false">MEDIAN('Raw SELECT'!H185:H189)</f>
        <v>0.602889999981926</v>
      </c>
      <c r="C20" s="22" t="n">
        <f aca="false">MEDIAN('Raw SELECT'!H235:H239)</f>
        <v>0.702767000007043</v>
      </c>
      <c r="D20" s="22" t="n">
        <f aca="false">MEDIAN('Raw SELECT'!H285:H289)</f>
        <v>7.76921800002128</v>
      </c>
      <c r="E20" s="23" t="n">
        <f aca="false">MEDIAN(B20:D20)</f>
        <v>0.702767000007043</v>
      </c>
      <c r="F20" s="22" t="n">
        <f aca="false">MEDIAN('Raw SELECT'!H190:H194)</f>
        <v>75.2057910000303</v>
      </c>
      <c r="G20" s="22" t="n">
        <f aca="false">MEDIAN('Raw SELECT'!H240:H244)</f>
        <v>92.2193729999208</v>
      </c>
      <c r="H20" s="22" t="n">
        <f aca="false">MEDIAN('Raw SELECT'!H290:H294)</f>
        <v>110.74798900006</v>
      </c>
      <c r="I20" s="24" t="n">
        <f aca="false">MEDIAN(F20:H20)</f>
        <v>92.2193729999208</v>
      </c>
      <c r="J20" s="11" t="n">
        <f aca="false">I20/E20</f>
        <v>131.223254647695</v>
      </c>
    </row>
    <row r="21" customFormat="false" ht="15" hidden="false" customHeight="false" outlineLevel="0" collapsed="false">
      <c r="A21" s="21" t="n">
        <v>1000000</v>
      </c>
      <c r="B21" s="22" t="n">
        <f aca="false">MEDIAN('Raw SELECT'!H195:H199)</f>
        <v>0.602214000025469</v>
      </c>
      <c r="C21" s="22" t="n">
        <f aca="false">MEDIAN('Raw SELECT'!H245:H249)</f>
        <v>0.691519000042717</v>
      </c>
      <c r="D21" s="22" t="n">
        <f aca="false">MEDIAN('Raw SELECT'!H295:H299)</f>
        <v>0.897474999987935</v>
      </c>
      <c r="E21" s="23" t="n">
        <f aca="false">MEDIAN(B21:D21)</f>
        <v>0.691519000042717</v>
      </c>
      <c r="F21" s="22" t="n">
        <f aca="false">MEDIAN('Raw SELECT'!H200:H204)</f>
        <v>853.923409000004</v>
      </c>
      <c r="G21" s="22" t="n">
        <f aca="false">MEDIAN('Raw SELECT'!H250:H254)</f>
        <v>1038.87952499997</v>
      </c>
      <c r="H21" s="22" t="n">
        <f aca="false">MEDIAN('Raw SELECT'!H300:H304)</f>
        <v>788.630450000028</v>
      </c>
      <c r="I21" s="24" t="n">
        <f aca="false">MEDIAN(F21:H21)</f>
        <v>853.923409000004</v>
      </c>
      <c r="J21" s="11" t="n">
        <f aca="false">I21/E21</f>
        <v>1234.85169452648</v>
      </c>
    </row>
    <row r="22" customFormat="false" ht="15" hidden="false" customHeight="false" outlineLevel="0" collapsed="false">
      <c r="A22" s="25" t="s">
        <v>73</v>
      </c>
    </row>
    <row r="24" customFormat="false" ht="15" hidden="false" customHeight="false" outlineLevel="0" collapsed="false">
      <c r="A24" s="6" t="s">
        <v>74</v>
      </c>
    </row>
    <row r="25" customFormat="false" ht="15" hidden="false" customHeight="false" outlineLevel="0" collapsed="false">
      <c r="B25" s="19" t="s">
        <v>65</v>
      </c>
      <c r="C25" s="19"/>
      <c r="D25" s="19"/>
      <c r="E25" s="19"/>
      <c r="F25" s="20" t="s">
        <v>66</v>
      </c>
      <c r="G25" s="20"/>
      <c r="H25" s="20"/>
      <c r="I25" s="20"/>
    </row>
    <row r="26" customFormat="false" ht="23.85" hidden="false" customHeight="false" outlineLevel="0" collapsed="false">
      <c r="A26" s="7" t="s">
        <v>67</v>
      </c>
      <c r="B26" s="7" t="s">
        <v>68</v>
      </c>
      <c r="C26" s="7" t="s">
        <v>69</v>
      </c>
      <c r="D26" s="7" t="s">
        <v>70</v>
      </c>
      <c r="E26" s="7" t="s">
        <v>71</v>
      </c>
      <c r="F26" s="7" t="s">
        <v>68</v>
      </c>
      <c r="G26" s="7" t="s">
        <v>69</v>
      </c>
      <c r="H26" s="7" t="s">
        <v>70</v>
      </c>
      <c r="I26" s="7" t="s">
        <v>71</v>
      </c>
      <c r="J26" s="7" t="s">
        <v>13</v>
      </c>
    </row>
    <row r="27" customFormat="false" ht="15" hidden="false" customHeight="false" outlineLevel="0" collapsed="false">
      <c r="A27" s="21" t="n">
        <v>10</v>
      </c>
      <c r="B27" s="22" t="n">
        <f aca="false">MEDIAN('Raw SELECT'!H305:H309)</f>
        <v>1.09366800000998</v>
      </c>
      <c r="C27" s="22" t="n">
        <f aca="false">MEDIAN('Raw SELECT'!H355:H359)</f>
        <v>0.744770999972388</v>
      </c>
      <c r="D27" s="22" t="n">
        <f aca="false">MEDIAN('Raw SELECT'!H405:H409)</f>
        <v>0.658090999991146</v>
      </c>
      <c r="E27" s="23" t="n">
        <f aca="false">MEDIAN(B27:D27)</f>
        <v>0.744770999972388</v>
      </c>
      <c r="F27" s="22" t="n">
        <f aca="false">MEDIAN('Raw SELECT'!H310:H314)</f>
        <v>1099.95248000001</v>
      </c>
      <c r="G27" s="22" t="n">
        <f aca="false">MEDIAN('Raw SELECT'!H360:H364)</f>
        <v>1244.78692900004</v>
      </c>
      <c r="H27" s="22" t="n">
        <f aca="false">MEDIAN('Raw SELECT'!H410:H414)</f>
        <v>980.394094000076</v>
      </c>
      <c r="I27" s="24" t="n">
        <f aca="false">MEDIAN(F27:H27)</f>
        <v>1099.95248000001</v>
      </c>
      <c r="J27" s="11" t="n">
        <f aca="false">I27/E27</f>
        <v>1476.90025530102</v>
      </c>
    </row>
    <row r="28" customFormat="false" ht="15" hidden="false" customHeight="false" outlineLevel="0" collapsed="false">
      <c r="A28" s="21" t="n">
        <v>1000</v>
      </c>
      <c r="B28" s="22" t="n">
        <f aca="false">MEDIAN('Raw SELECT'!H315:H319)</f>
        <v>0.658768000050714</v>
      </c>
      <c r="C28" s="22" t="n">
        <f aca="false">MEDIAN('Raw SELECT'!H365:H369)</f>
        <v>0.647655000079794</v>
      </c>
      <c r="D28" s="22" t="n">
        <f aca="false">MEDIAN('Raw SELECT'!H415:H419)</f>
        <v>0.616760999946564</v>
      </c>
      <c r="E28" s="23" t="n">
        <f aca="false">MEDIAN(B28:D28)</f>
        <v>0.647655000079794</v>
      </c>
      <c r="F28" s="22" t="n">
        <f aca="false">MEDIAN('Raw SELECT'!H320:H324)</f>
        <v>1053.914147</v>
      </c>
      <c r="G28" s="22" t="n">
        <f aca="false">MEDIAN('Raw SELECT'!H370:H374)</f>
        <v>1061.37357199998</v>
      </c>
      <c r="H28" s="22" t="n">
        <f aca="false">MEDIAN('Raw SELECT'!H420:H424)</f>
        <v>972.737832000007</v>
      </c>
      <c r="I28" s="24" t="n">
        <f aca="false">MEDIAN(F28:H28)</f>
        <v>1053.914147</v>
      </c>
      <c r="J28" s="11" t="n">
        <f aca="false">I28/E28</f>
        <v>1627.27709485784</v>
      </c>
    </row>
    <row r="29" customFormat="false" ht="15" hidden="false" customHeight="false" outlineLevel="0" collapsed="false">
      <c r="A29" s="21" t="n">
        <v>10000</v>
      </c>
      <c r="B29" s="22" t="n">
        <f aca="false">MEDIAN('Raw SELECT'!H325:H329)</f>
        <v>0.66312100000232</v>
      </c>
      <c r="C29" s="22" t="n">
        <f aca="false">MEDIAN('Raw SELECT'!H375:H379)</f>
        <v>0.714442000003146</v>
      </c>
      <c r="D29" s="22" t="n">
        <f aca="false">MEDIAN('Raw SELECT'!H425:H429)</f>
        <v>0.693052999963584</v>
      </c>
      <c r="E29" s="23" t="n">
        <f aca="false">MEDIAN(B29:D29)</f>
        <v>0.693052999963584</v>
      </c>
      <c r="F29" s="22" t="n">
        <f aca="false">MEDIAN('Raw SELECT'!H330:H334)</f>
        <v>1050.62739800002</v>
      </c>
      <c r="G29" s="22" t="n">
        <f aca="false">MEDIAN('Raw SELECT'!H380:H384)</f>
        <v>1064.36930899997</v>
      </c>
      <c r="H29" s="22" t="n">
        <f aca="false">MEDIAN('Raw SELECT'!H430:H434)</f>
        <v>937.710111999991</v>
      </c>
      <c r="I29" s="24" t="n">
        <f aca="false">MEDIAN(F29:H29)</f>
        <v>1050.62739800002</v>
      </c>
      <c r="J29" s="11" t="n">
        <f aca="false">I29/E29</f>
        <v>1515.94091368946</v>
      </c>
    </row>
    <row r="30" customFormat="false" ht="15" hidden="false" customHeight="false" outlineLevel="0" collapsed="false">
      <c r="A30" s="21" t="n">
        <v>100000</v>
      </c>
      <c r="B30" s="22" t="n">
        <f aca="false">MEDIAN('Raw SELECT'!H335:H339)</f>
        <v>0.684831000000941</v>
      </c>
      <c r="C30" s="22" t="n">
        <f aca="false">MEDIAN('Raw SELECT'!H385:H389)</f>
        <v>0.688673000013296</v>
      </c>
      <c r="D30" s="22" t="n">
        <f aca="false">MEDIAN('Raw SELECT'!H435:H439)</f>
        <v>0.62653500003762</v>
      </c>
      <c r="E30" s="23" t="n">
        <f aca="false">MEDIAN(B30:D30)</f>
        <v>0.684831000000941</v>
      </c>
      <c r="F30" s="22" t="n">
        <f aca="false">MEDIAN('Raw SELECT'!H340:H344)</f>
        <v>1067.744683</v>
      </c>
      <c r="G30" s="22" t="n">
        <f aca="false">MEDIAN('Raw SELECT'!H390:H394)</f>
        <v>4938.92892199995</v>
      </c>
      <c r="H30" s="22" t="n">
        <f aca="false">MEDIAN('Raw SELECT'!H440:H444)</f>
        <v>983.182667999927</v>
      </c>
      <c r="I30" s="24" t="n">
        <f aca="false">MEDIAN(F30:H30)</f>
        <v>1067.744683</v>
      </c>
      <c r="J30" s="11" t="n">
        <f aca="false">I30/E30</f>
        <v>1559.13602479814</v>
      </c>
    </row>
    <row r="31" customFormat="false" ht="15" hidden="false" customHeight="false" outlineLevel="0" collapsed="false">
      <c r="A31" s="21" t="n">
        <v>1000000</v>
      </c>
      <c r="B31" s="22" t="n">
        <f aca="false">MEDIAN('Raw SELECT'!H345:H349)</f>
        <v>0.753657000018393</v>
      </c>
      <c r="C31" s="22" t="n">
        <f aca="false">MEDIAN('Raw SELECT'!H395:H399)</f>
        <v>0.767809999956626</v>
      </c>
      <c r="D31" s="22" t="n">
        <f aca="false">MEDIAN('Raw SELECT'!H445:H449)</f>
        <v>0.689692000037212</v>
      </c>
      <c r="E31" s="23" t="n">
        <f aca="false">MEDIAN(B31:D31)</f>
        <v>0.753657000018393</v>
      </c>
      <c r="F31" s="22" t="n">
        <f aca="false">MEDIAN('Raw SELECT'!H350:H354)</f>
        <v>1087.91502699995</v>
      </c>
      <c r="G31" s="22" t="n">
        <f aca="false">MEDIAN('Raw SELECT'!H400:H404)</f>
        <v>1298.73307800006</v>
      </c>
      <c r="H31" s="22" t="n">
        <f aca="false">MEDIAN('Raw SELECT'!H450:H454)</f>
        <v>997.857594000038</v>
      </c>
      <c r="I31" s="24" t="n">
        <f aca="false">MEDIAN(F31:H31)</f>
        <v>1087.91502699995</v>
      </c>
      <c r="J31" s="11" t="n">
        <f aca="false">I31/E31</f>
        <v>1443.51479117609</v>
      </c>
    </row>
    <row r="34" customFormat="false" ht="15" hidden="false" customHeight="false" outlineLevel="0" collapsed="false">
      <c r="A34" s="25" t="s">
        <v>75</v>
      </c>
    </row>
    <row r="35" customFormat="false" ht="15" hidden="false" customHeight="false" outlineLevel="0" collapsed="false">
      <c r="A35" s="7" t="s">
        <v>67</v>
      </c>
      <c r="B35" s="7" t="s">
        <v>76</v>
      </c>
      <c r="C35" s="7" t="s">
        <v>77</v>
      </c>
    </row>
    <row r="36" customFormat="false" ht="15" hidden="false" customHeight="false" outlineLevel="0" collapsed="false">
      <c r="A36" s="26" t="s">
        <v>16</v>
      </c>
      <c r="B36" s="22" t="n">
        <f aca="false">E17</f>
        <v>0.655924000000141</v>
      </c>
      <c r="C36" s="22" t="n">
        <f aca="false">I17</f>
        <v>0.712915999997676</v>
      </c>
    </row>
    <row r="37" customFormat="false" ht="15" hidden="false" customHeight="false" outlineLevel="0" collapsed="false">
      <c r="A37" s="26" t="s">
        <v>17</v>
      </c>
      <c r="B37" s="22" t="n">
        <f aca="false">E18</f>
        <v>0.660939999988841</v>
      </c>
      <c r="C37" s="22" t="n">
        <f aca="false">I18</f>
        <v>1.6079780000382</v>
      </c>
    </row>
    <row r="38" customFormat="false" ht="15" hidden="false" customHeight="false" outlineLevel="0" collapsed="false">
      <c r="A38" s="26" t="s">
        <v>18</v>
      </c>
      <c r="B38" s="22" t="n">
        <f aca="false">E19</f>
        <v>0.694593999924109</v>
      </c>
      <c r="C38" s="22" t="n">
        <f aca="false">I19</f>
        <v>8.2719750000706</v>
      </c>
    </row>
    <row r="39" customFormat="false" ht="15" hidden="false" customHeight="false" outlineLevel="0" collapsed="false">
      <c r="A39" s="26" t="s">
        <v>19</v>
      </c>
      <c r="B39" s="22" t="n">
        <f aca="false">E20</f>
        <v>0.702767000007043</v>
      </c>
      <c r="C39" s="22" t="n">
        <f aca="false">I20</f>
        <v>92.2193729999208</v>
      </c>
    </row>
    <row r="40" customFormat="false" ht="15" hidden="false" customHeight="false" outlineLevel="0" collapsed="false">
      <c r="A40" s="26" t="s">
        <v>20</v>
      </c>
      <c r="B40" s="22" t="n">
        <f aca="false">E21</f>
        <v>0.691519000042717</v>
      </c>
      <c r="C40" s="22" t="n">
        <f aca="false">I21</f>
        <v>853.923409000004</v>
      </c>
    </row>
  </sheetData>
  <mergeCells count="6">
    <mergeCell ref="B5:E5"/>
    <mergeCell ref="F5:I5"/>
    <mergeCell ref="B15:E15"/>
    <mergeCell ref="F15:I15"/>
    <mergeCell ref="B25:E25"/>
    <mergeCell ref="F25:I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14" min="4" style="0" width="12"/>
  </cols>
  <sheetData>
    <row r="1" customFormat="false" ht="17.35" hidden="false" customHeight="false" outlineLevel="0" collapsed="false">
      <c r="A1" s="1" t="s">
        <v>78</v>
      </c>
    </row>
    <row r="2" customFormat="false" ht="15" hidden="false" customHeight="false" outlineLevel="0" collapsed="false">
      <c r="A2" s="2" t="s">
        <v>79</v>
      </c>
    </row>
    <row r="4" customFormat="false" ht="15" hidden="false" customHeight="false" outlineLevel="0" collapsed="false">
      <c r="D4" s="19" t="s">
        <v>80</v>
      </c>
      <c r="E4" s="19"/>
      <c r="F4" s="19"/>
      <c r="G4" s="19"/>
      <c r="H4" s="20" t="s">
        <v>81</v>
      </c>
      <c r="I4" s="20"/>
      <c r="J4" s="20"/>
      <c r="K4" s="20"/>
    </row>
    <row r="5" customFormat="false" ht="23.85" hidden="false" customHeight="false" outlineLevel="0" collapsed="false">
      <c r="A5" s="7" t="s">
        <v>22</v>
      </c>
      <c r="B5" s="7" t="s">
        <v>23</v>
      </c>
      <c r="C5" s="7" t="s">
        <v>24</v>
      </c>
      <c r="D5" s="7" t="s">
        <v>68</v>
      </c>
      <c r="E5" s="7" t="s">
        <v>69</v>
      </c>
      <c r="F5" s="7" t="s">
        <v>70</v>
      </c>
      <c r="G5" s="7" t="s">
        <v>71</v>
      </c>
      <c r="H5" s="7" t="s">
        <v>68</v>
      </c>
      <c r="I5" s="7" t="s">
        <v>69</v>
      </c>
      <c r="J5" s="7" t="s">
        <v>70</v>
      </c>
      <c r="K5" s="7" t="s">
        <v>71</v>
      </c>
      <c r="L5" s="7" t="s">
        <v>27</v>
      </c>
      <c r="M5" s="7" t="s">
        <v>82</v>
      </c>
      <c r="N5" s="7" t="s">
        <v>83</v>
      </c>
    </row>
    <row r="6" customFormat="false" ht="15" hidden="false" customHeight="false" outlineLevel="0" collapsed="false">
      <c r="A6" s="8" t="s">
        <v>84</v>
      </c>
      <c r="B6" s="12" t="n">
        <v>1000000</v>
      </c>
      <c r="C6" s="12" t="n">
        <v>1000000</v>
      </c>
      <c r="D6" s="22" t="n">
        <f aca="false">'Raw INSERT'!G5</f>
        <v>46.937406552</v>
      </c>
      <c r="E6" s="22" t="n">
        <f aca="false">'Raw INSERT'!G7</f>
        <v>55.823336436</v>
      </c>
      <c r="F6" s="22" t="n">
        <f aca="false">'Raw INSERT'!G9</f>
        <v>66.7988109500001</v>
      </c>
      <c r="G6" s="23" t="n">
        <f aca="false">MEDIAN(D6:F6)</f>
        <v>55.823336436</v>
      </c>
      <c r="H6" s="22" t="n">
        <f aca="false">'Raw INSERT'!G6</f>
        <v>54.635121221</v>
      </c>
      <c r="I6" s="22" t="n">
        <f aca="false">'Raw INSERT'!G8</f>
        <v>35.00725839</v>
      </c>
      <c r="J6" s="22" t="n">
        <f aca="false">'Raw INSERT'!G10</f>
        <v>77.878874326</v>
      </c>
      <c r="K6" s="24" t="n">
        <f aca="false">MEDIAN(H6:J6)</f>
        <v>54.635121221</v>
      </c>
      <c r="L6" s="27" t="n">
        <f aca="false">(K6-G6)/G6</f>
        <v>-0.0212852776430206</v>
      </c>
      <c r="M6" s="12" t="n">
        <f aca="false">B6/G6</f>
        <v>17913.6551815829</v>
      </c>
      <c r="N6" s="12" t="n">
        <f aca="false">B6/K6</f>
        <v>18303.2448295481</v>
      </c>
    </row>
    <row r="7" customFormat="false" ht="15" hidden="false" customHeight="false" outlineLevel="0" collapsed="false">
      <c r="A7" s="8" t="s">
        <v>85</v>
      </c>
      <c r="B7" s="12" t="n">
        <v>20000</v>
      </c>
      <c r="C7" s="12" t="n">
        <v>1020000</v>
      </c>
      <c r="D7" s="22" t="n">
        <f aca="false">'Raw INSERT'!G11</f>
        <v>0.653655008999976</v>
      </c>
      <c r="E7" s="22" t="n">
        <f aca="false">'Raw INSERT'!G13</f>
        <v>1.15383497599999</v>
      </c>
      <c r="F7" s="22" t="n">
        <f aca="false">'Raw INSERT'!G15</f>
        <v>0.798594783999988</v>
      </c>
      <c r="G7" s="23" t="n">
        <f aca="false">MEDIAN(D7:F7)</f>
        <v>0.798594783999988</v>
      </c>
      <c r="H7" s="22" t="n">
        <f aca="false">'Raw INSERT'!G12</f>
        <v>0.69109368200003</v>
      </c>
      <c r="I7" s="22" t="n">
        <f aca="false">'Raw INSERT'!G14</f>
        <v>0.708386510999958</v>
      </c>
      <c r="J7" s="22" t="n">
        <f aca="false">'Raw INSERT'!G16</f>
        <v>0.717295885999988</v>
      </c>
      <c r="K7" s="24" t="n">
        <f aca="false">MEDIAN(H7:J7)</f>
        <v>0.708386510999958</v>
      </c>
      <c r="L7" s="27" t="n">
        <f aca="false">(K7-G7)/G7</f>
        <v>-0.112958755563362</v>
      </c>
      <c r="M7" s="12" t="n">
        <f aca="false">B7/G7</f>
        <v>25043.9902697891</v>
      </c>
      <c r="N7" s="12" t="n">
        <f aca="false">B7/K7</f>
        <v>28233.1745303394</v>
      </c>
    </row>
    <row r="8" customFormat="false" ht="15" hidden="false" customHeight="false" outlineLevel="0" collapsed="false">
      <c r="A8" s="8" t="s">
        <v>86</v>
      </c>
      <c r="B8" s="12" t="n">
        <v>40000</v>
      </c>
      <c r="C8" s="12" t="n">
        <v>1060000</v>
      </c>
      <c r="D8" s="22" t="n">
        <f aca="false">'Raw INSERT'!G17</f>
        <v>1.42405494099995</v>
      </c>
      <c r="E8" s="22" t="n">
        <f aca="false">'Raw INSERT'!G19</f>
        <v>1.43643765100001</v>
      </c>
      <c r="F8" s="22" t="n">
        <f aca="false">'Raw INSERT'!G21</f>
        <v>1.44170993900002</v>
      </c>
      <c r="G8" s="23" t="n">
        <f aca="false">MEDIAN(D8:F8)</f>
        <v>1.43643765100001</v>
      </c>
      <c r="H8" s="22" t="n">
        <f aca="false">'Raw INSERT'!G18</f>
        <v>1.50873217200001</v>
      </c>
      <c r="I8" s="22" t="n">
        <f aca="false">'Raw INSERT'!G20</f>
        <v>1.39809351600002</v>
      </c>
      <c r="J8" s="22" t="n">
        <f aca="false">'Raw INSERT'!G22</f>
        <v>1.37007882900002</v>
      </c>
      <c r="K8" s="24" t="n">
        <f aca="false">MEDIAN(H8:J8)</f>
        <v>1.39809351600002</v>
      </c>
      <c r="L8" s="27" t="n">
        <f aca="false">(K8-G8)/G8</f>
        <v>-0.0266939083456181</v>
      </c>
      <c r="M8" s="12" t="n">
        <f aca="false">B8/G8</f>
        <v>27846.6663500175</v>
      </c>
      <c r="N8" s="12" t="n">
        <f aca="false">B8/K8</f>
        <v>28610.3894641047</v>
      </c>
    </row>
    <row r="9" customFormat="false" ht="15" hidden="false" customHeight="false" outlineLevel="0" collapsed="false">
      <c r="A9" s="8" t="s">
        <v>87</v>
      </c>
      <c r="B9" s="12" t="n">
        <v>60000</v>
      </c>
      <c r="C9" s="12" t="n">
        <v>1120000</v>
      </c>
      <c r="D9" s="22" t="n">
        <f aca="false">'Raw INSERT'!G23</f>
        <v>2.40080622199997</v>
      </c>
      <c r="E9" s="22" t="n">
        <f aca="false">'Raw INSERT'!G25</f>
        <v>2.93526346700003</v>
      </c>
      <c r="F9" s="22" t="n">
        <f aca="false">'Raw INSERT'!G27</f>
        <v>3.21189882099998</v>
      </c>
      <c r="G9" s="23" t="n">
        <f aca="false">MEDIAN(D9:F9)</f>
        <v>2.93526346700003</v>
      </c>
      <c r="H9" s="22" t="n">
        <f aca="false">'Raw INSERT'!G24</f>
        <v>1.99659418199997</v>
      </c>
      <c r="I9" s="22" t="n">
        <f aca="false">'Raw INSERT'!G26</f>
        <v>2.44782441300004</v>
      </c>
      <c r="J9" s="22" t="n">
        <f aca="false">'Raw INSERT'!G28</f>
        <v>2.11868159699998</v>
      </c>
      <c r="K9" s="24" t="n">
        <f aca="false">MEDIAN(H9:J9)</f>
        <v>2.11868159699998</v>
      </c>
      <c r="L9" s="27" t="n">
        <f aca="false">(K9-G9)/G9</f>
        <v>-0.278197129211925</v>
      </c>
      <c r="M9" s="12" t="n">
        <f aca="false">B9/G9</f>
        <v>20441.0952115732</v>
      </c>
      <c r="N9" s="12" t="n">
        <f aca="false">B9/K9</f>
        <v>28319.4983545235</v>
      </c>
    </row>
    <row r="10" customFormat="false" ht="15" hidden="false" customHeight="false" outlineLevel="0" collapsed="false">
      <c r="A10" s="8" t="s">
        <v>88</v>
      </c>
      <c r="B10" s="12" t="n">
        <v>100000</v>
      </c>
      <c r="C10" s="12" t="n">
        <v>1220000</v>
      </c>
      <c r="D10" s="22" t="n">
        <f aca="false">'Raw INSERT'!G29</f>
        <v>3.64969947900005</v>
      </c>
      <c r="E10" s="22" t="n">
        <f aca="false">'Raw INSERT'!G31</f>
        <v>3.56671292800002</v>
      </c>
      <c r="F10" s="22" t="n">
        <f aca="false">'Raw INSERT'!G33</f>
        <v>3.46611336599995</v>
      </c>
      <c r="G10" s="23" t="n">
        <f aca="false">MEDIAN(D10:F10)</f>
        <v>3.56671292800002</v>
      </c>
      <c r="H10" s="22" t="n">
        <f aca="false">'Raw INSERT'!G30</f>
        <v>3.53373852200002</v>
      </c>
      <c r="I10" s="22" t="n">
        <f aca="false">'Raw INSERT'!G32</f>
        <v>3.97738899800004</v>
      </c>
      <c r="J10" s="22" t="n">
        <f aca="false">'Raw INSERT'!G34</f>
        <v>3.40327588599996</v>
      </c>
      <c r="K10" s="24" t="n">
        <f aca="false">MEDIAN(H10:J10)</f>
        <v>3.53373852200002</v>
      </c>
      <c r="L10" s="27" t="n">
        <f aca="false">(K10-G10)/G10</f>
        <v>-0.0092450406482486</v>
      </c>
      <c r="M10" s="12" t="n">
        <f aca="false">B10/G10</f>
        <v>28037.0195243253</v>
      </c>
      <c r="N10" s="12" t="n">
        <f aca="false">B10/K10</f>
        <v>28298.6416163588</v>
      </c>
    </row>
    <row r="12" customFormat="false" ht="15" hidden="false" customHeight="false" outlineLevel="0" collapsed="false">
      <c r="A12" s="25" t="s">
        <v>89</v>
      </c>
    </row>
  </sheetData>
  <mergeCells count="2">
    <mergeCell ref="D4:G4"/>
    <mergeCell ref="H4:K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6" min="2" style="0" width="15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10" min="9" style="0" width="15"/>
    <col collapsed="false" customWidth="true" hidden="false" outlineLevel="0" max="11" min="11" style="0" width="12"/>
    <col collapsed="false" customWidth="true" hidden="false" outlineLevel="0" max="13" min="12" style="0" width="14"/>
    <col collapsed="false" customWidth="true" hidden="false" outlineLevel="0" max="15" min="14" style="0" width="19"/>
  </cols>
  <sheetData>
    <row r="1" customFormat="false" ht="17.35" hidden="false" customHeight="false" outlineLevel="0" collapsed="false">
      <c r="A1" s="1" t="s">
        <v>90</v>
      </c>
    </row>
    <row r="2" customFormat="false" ht="15" hidden="false" customHeight="false" outlineLevel="0" collapsed="false">
      <c r="A2" s="2" t="s">
        <v>91</v>
      </c>
    </row>
    <row r="4" customFormat="false" ht="15" hidden="false" customHeight="false" outlineLevel="0" collapsed="false">
      <c r="A4" s="6" t="s">
        <v>92</v>
      </c>
    </row>
    <row r="5" customFormat="false" ht="15" hidden="false" customHeight="true" outlineLevel="0" collapsed="false">
      <c r="A5" s="7" t="s">
        <v>93</v>
      </c>
      <c r="B5" s="7" t="s">
        <v>94</v>
      </c>
      <c r="C5" s="7"/>
      <c r="D5" s="7"/>
      <c r="E5" s="7"/>
      <c r="F5" s="7"/>
      <c r="G5" s="7" t="s">
        <v>95</v>
      </c>
    </row>
    <row r="6" customFormat="false" ht="124.5" hidden="false" customHeight="true" outlineLevel="0" collapsed="false">
      <c r="A6" s="28" t="s">
        <v>96</v>
      </c>
      <c r="B6" s="29" t="s">
        <v>97</v>
      </c>
      <c r="C6" s="29"/>
      <c r="D6" s="29"/>
      <c r="E6" s="29"/>
      <c r="F6" s="29"/>
      <c r="G6" s="30" t="s">
        <v>98</v>
      </c>
    </row>
    <row r="7" customFormat="false" ht="124.5" hidden="false" customHeight="true" outlineLevel="0" collapsed="false">
      <c r="A7" s="28" t="s">
        <v>99</v>
      </c>
      <c r="B7" s="29" t="s">
        <v>100</v>
      </c>
      <c r="C7" s="29"/>
      <c r="D7" s="29"/>
      <c r="E7" s="29"/>
      <c r="F7" s="29"/>
      <c r="G7" s="31" t="s">
        <v>101</v>
      </c>
    </row>
    <row r="9" customFormat="false" ht="15" hidden="false" customHeight="false" outlineLevel="0" collapsed="false">
      <c r="A9" s="6" t="s">
        <v>102</v>
      </c>
    </row>
    <row r="10" customFormat="false" ht="23.85" hidden="false" customHeight="false" outlineLevel="0" collapsed="false">
      <c r="A10" s="7" t="s">
        <v>103</v>
      </c>
      <c r="B10" s="7" t="s">
        <v>93</v>
      </c>
      <c r="C10" s="7" t="s">
        <v>104</v>
      </c>
      <c r="D10" s="7" t="s">
        <v>105</v>
      </c>
      <c r="E10" s="7" t="s">
        <v>106</v>
      </c>
      <c r="F10" s="7" t="s">
        <v>107</v>
      </c>
      <c r="G10" s="7" t="s">
        <v>108</v>
      </c>
      <c r="H10" s="7" t="s">
        <v>109</v>
      </c>
      <c r="I10" s="7" t="s">
        <v>110</v>
      </c>
      <c r="J10" s="7" t="s">
        <v>111</v>
      </c>
      <c r="K10" s="7" t="s">
        <v>112</v>
      </c>
      <c r="L10" s="7" t="s">
        <v>113</v>
      </c>
      <c r="M10" s="7" t="s">
        <v>114</v>
      </c>
      <c r="N10" s="7" t="s">
        <v>115</v>
      </c>
      <c r="O10" s="7" t="s">
        <v>116</v>
      </c>
    </row>
    <row r="11" customFormat="false" ht="15" hidden="false" customHeight="false" outlineLevel="0" collapsed="false">
      <c r="A11" s="26" t="s">
        <v>117</v>
      </c>
      <c r="B11" s="26" t="s">
        <v>118</v>
      </c>
      <c r="C11" s="12" t="n">
        <v>1000000</v>
      </c>
      <c r="D11" s="12" t="n">
        <v>1000000</v>
      </c>
      <c r="E11" s="12" t="n">
        <v>1</v>
      </c>
      <c r="F11" s="12" t="n">
        <v>1000000</v>
      </c>
      <c r="G11" s="32" t="n">
        <v>3469309737</v>
      </c>
      <c r="H11" s="8" t="str">
        <f aca="false">IF($G$11=$G$12,"Yes - identical","NO - different")</f>
        <v>Yes - identical</v>
      </c>
      <c r="I11" s="26" t="n">
        <v>18</v>
      </c>
      <c r="J11" s="26" t="n">
        <v>65</v>
      </c>
      <c r="K11" s="26" t="n">
        <v>12</v>
      </c>
      <c r="L11" s="33" t="n">
        <v>3000059.15</v>
      </c>
      <c r="M11" s="33" t="n">
        <v>49999989.4</v>
      </c>
      <c r="N11" s="26" t="s">
        <v>119</v>
      </c>
      <c r="O11" s="26" t="s">
        <v>120</v>
      </c>
    </row>
    <row r="12" customFormat="false" ht="15" hidden="false" customHeight="false" outlineLevel="0" collapsed="false">
      <c r="A12" s="26" t="s">
        <v>117</v>
      </c>
      <c r="B12" s="26" t="s">
        <v>121</v>
      </c>
      <c r="C12" s="12" t="n">
        <v>1000000</v>
      </c>
      <c r="D12" s="12" t="n">
        <v>1000000</v>
      </c>
      <c r="E12" s="12" t="n">
        <v>1</v>
      </c>
      <c r="F12" s="12" t="n">
        <v>1000000</v>
      </c>
      <c r="G12" s="32" t="n">
        <v>3469309737</v>
      </c>
      <c r="H12" s="8" t="str">
        <f aca="false">IF($G$11=$G$12,"Yes - identical","NO - different")</f>
        <v>Yes - identical</v>
      </c>
      <c r="I12" s="26" t="n">
        <v>18</v>
      </c>
      <c r="J12" s="26" t="n">
        <v>65</v>
      </c>
      <c r="K12" s="26" t="n">
        <v>12</v>
      </c>
      <c r="L12" s="33" t="n">
        <v>3000059.15</v>
      </c>
      <c r="M12" s="33" t="n">
        <v>49999989.4</v>
      </c>
      <c r="N12" s="26" t="s">
        <v>119</v>
      </c>
      <c r="O12" s="26" t="s">
        <v>120</v>
      </c>
    </row>
    <row r="13" customFormat="false" ht="15" hidden="false" customHeight="false" outlineLevel="0" collapsed="false">
      <c r="A13" s="26" t="s">
        <v>122</v>
      </c>
      <c r="B13" s="26" t="s">
        <v>118</v>
      </c>
      <c r="C13" s="12" t="n">
        <v>1220000</v>
      </c>
      <c r="D13" s="12" t="n">
        <v>1220000</v>
      </c>
      <c r="E13" s="12" t="n">
        <v>1</v>
      </c>
      <c r="F13" s="12" t="n">
        <v>1220000</v>
      </c>
      <c r="G13" s="32" t="n">
        <v>1493473557</v>
      </c>
      <c r="H13" s="8" t="str">
        <f aca="false">IF($G$13=$G$14,"Yes - identical","NO - different")</f>
        <v>Yes - identical</v>
      </c>
      <c r="I13" s="26" t="n">
        <v>18</v>
      </c>
      <c r="J13" s="26" t="n">
        <v>65</v>
      </c>
      <c r="K13" s="26" t="n">
        <v>12</v>
      </c>
      <c r="L13" s="33" t="n">
        <v>3000059.15</v>
      </c>
      <c r="M13" s="33" t="n">
        <v>49999989.4</v>
      </c>
      <c r="N13" s="26" t="s">
        <v>119</v>
      </c>
      <c r="O13" s="26" t="s">
        <v>120</v>
      </c>
    </row>
    <row r="14" customFormat="false" ht="15" hidden="false" customHeight="false" outlineLevel="0" collapsed="false">
      <c r="A14" s="26" t="s">
        <v>122</v>
      </c>
      <c r="B14" s="26" t="s">
        <v>121</v>
      </c>
      <c r="C14" s="12" t="n">
        <v>1220000</v>
      </c>
      <c r="D14" s="12" t="n">
        <v>1220000</v>
      </c>
      <c r="E14" s="12" t="n">
        <v>1</v>
      </c>
      <c r="F14" s="12" t="n">
        <v>1220000</v>
      </c>
      <c r="G14" s="32" t="n">
        <v>1493473557</v>
      </c>
      <c r="H14" s="8" t="str">
        <f aca="false">IF($G$13=$G$14,"Yes - identical","NO - different")</f>
        <v>Yes - identical</v>
      </c>
      <c r="I14" s="26" t="n">
        <v>18</v>
      </c>
      <c r="J14" s="26" t="n">
        <v>65</v>
      </c>
      <c r="K14" s="26" t="n">
        <v>12</v>
      </c>
      <c r="L14" s="33" t="n">
        <v>3000059.15</v>
      </c>
      <c r="M14" s="33" t="n">
        <v>49999989.4</v>
      </c>
      <c r="N14" s="26" t="s">
        <v>119</v>
      </c>
      <c r="O14" s="26" t="s">
        <v>120</v>
      </c>
    </row>
    <row r="15" customFormat="false" ht="15" hidden="false" customHeight="false" outlineLevel="0" collapsed="false">
      <c r="A15" s="25" t="s">
        <v>123</v>
      </c>
    </row>
    <row r="17" customFormat="false" ht="15" hidden="false" customHeight="false" outlineLevel="0" collapsed="false">
      <c r="A17" s="6" t="s">
        <v>124</v>
      </c>
    </row>
    <row r="18" customFormat="false" ht="15" hidden="false" customHeight="false" outlineLevel="0" collapsed="false">
      <c r="B18" s="19" t="s">
        <v>65</v>
      </c>
      <c r="C18" s="19"/>
      <c r="D18" s="19"/>
      <c r="E18" s="19"/>
      <c r="F18" s="20" t="s">
        <v>66</v>
      </c>
      <c r="G18" s="20"/>
      <c r="H18" s="20"/>
      <c r="I18" s="20"/>
    </row>
    <row r="19" customFormat="false" ht="35.05" hidden="false" customHeight="false" outlineLevel="0" collapsed="false">
      <c r="A19" s="7" t="s">
        <v>67</v>
      </c>
      <c r="B19" s="7" t="s">
        <v>125</v>
      </c>
      <c r="C19" s="7" t="s">
        <v>126</v>
      </c>
      <c r="D19" s="7" t="s">
        <v>127</v>
      </c>
      <c r="E19" s="7" t="s">
        <v>128</v>
      </c>
      <c r="F19" s="7" t="s">
        <v>125</v>
      </c>
      <c r="G19" s="7" t="s">
        <v>126</v>
      </c>
      <c r="H19" s="7" t="s">
        <v>127</v>
      </c>
      <c r="I19" s="7" t="s">
        <v>128</v>
      </c>
    </row>
    <row r="20" customFormat="false" ht="15" hidden="false" customHeight="false" outlineLevel="0" collapsed="false">
      <c r="A20" s="21" t="n">
        <v>10</v>
      </c>
      <c r="B20" s="22" t="n">
        <f aca="false">'SELECT results'!E7</f>
        <v>0.721221999924637</v>
      </c>
      <c r="C20" s="22" t="n">
        <f aca="false">MEDIAN('Raw verification'!E5:E9)</f>
        <v>0.680745000067873</v>
      </c>
      <c r="D20" s="23" t="n">
        <f aca="false">MEDIAN('Raw verification'!F5:F9)</f>
        <v>0.264424</v>
      </c>
      <c r="E20" s="21" t="n">
        <f aca="false">MAX('Raw verification'!G5:G9)</f>
        <v>1</v>
      </c>
      <c r="F20" s="22" t="n">
        <f aca="false">'SELECT results'!I7</f>
        <v>1180.78142599995</v>
      </c>
      <c r="G20" s="22" t="n">
        <f aca="false">MEDIAN('Raw verification'!E10:E14)</f>
        <v>790.332754000019</v>
      </c>
      <c r="H20" s="24" t="n">
        <f aca="false">MEDIAN('Raw verification'!F10:F14)</f>
        <v>789.593954</v>
      </c>
      <c r="I20" s="21" t="n">
        <f aca="false">MAX('Raw verification'!G10:G14)</f>
        <v>1000000</v>
      </c>
    </row>
    <row r="21" customFormat="false" ht="15" hidden="false" customHeight="false" outlineLevel="0" collapsed="false">
      <c r="A21" s="21" t="n">
        <v>1000</v>
      </c>
      <c r="B21" s="22" t="n">
        <f aca="false">'SELECT results'!E8</f>
        <v>0.716366999995444</v>
      </c>
      <c r="C21" s="22" t="n">
        <f aca="false">MEDIAN('Raw verification'!E15:E19)</f>
        <v>0.720408000006501</v>
      </c>
      <c r="D21" s="23" t="n">
        <f aca="false">MEDIAN('Raw verification'!F15:F19)</f>
        <v>0.271756</v>
      </c>
      <c r="E21" s="21" t="n">
        <f aca="false">MAX('Raw verification'!G15:G19)</f>
        <v>1</v>
      </c>
      <c r="F21" s="22" t="n">
        <f aca="false">'SELECT results'!I8</f>
        <v>841.351248000024</v>
      </c>
      <c r="G21" s="22" t="n">
        <f aca="false">MEDIAN('Raw verification'!E20:E24)</f>
        <v>821.549161999997</v>
      </c>
      <c r="H21" s="24" t="n">
        <f aca="false">MEDIAN('Raw verification'!F20:F24)</f>
        <v>821.055583</v>
      </c>
      <c r="I21" s="21" t="n">
        <f aca="false">MAX('Raw verification'!G20:G24)</f>
        <v>1000000</v>
      </c>
    </row>
    <row r="22" customFormat="false" ht="15" hidden="false" customHeight="false" outlineLevel="0" collapsed="false">
      <c r="A22" s="21" t="n">
        <v>10000</v>
      </c>
      <c r="B22" s="22" t="n">
        <f aca="false">'SELECT results'!E9</f>
        <v>1.05995000001258</v>
      </c>
      <c r="C22" s="22" t="n">
        <f aca="false">MEDIAN('Raw verification'!E25:E29)</f>
        <v>0.718968999990466</v>
      </c>
      <c r="D22" s="23" t="n">
        <f aca="false">MEDIAN('Raw verification'!F25:F29)</f>
        <v>0.281846</v>
      </c>
      <c r="E22" s="21" t="n">
        <f aca="false">MAX('Raw verification'!G25:G29)</f>
        <v>1</v>
      </c>
      <c r="F22" s="22" t="n">
        <f aca="false">'SELECT results'!I9</f>
        <v>1177.87916899999</v>
      </c>
      <c r="G22" s="22" t="n">
        <f aca="false">MEDIAN('Raw verification'!E30:E34)</f>
        <v>808.056198000031</v>
      </c>
      <c r="H22" s="24" t="n">
        <f aca="false">MEDIAN('Raw verification'!F30:F34)</f>
        <v>807.478595</v>
      </c>
      <c r="I22" s="21" t="n">
        <f aca="false">MAX('Raw verification'!G30:G34)</f>
        <v>1000000</v>
      </c>
    </row>
    <row r="23" customFormat="false" ht="15" hidden="false" customHeight="false" outlineLevel="0" collapsed="false">
      <c r="A23" s="21" t="n">
        <v>100000</v>
      </c>
      <c r="B23" s="22" t="n">
        <f aca="false">'SELECT results'!E10</f>
        <v>0.704117999930531</v>
      </c>
      <c r="C23" s="22" t="n">
        <f aca="false">MEDIAN('Raw verification'!E35:E39)</f>
        <v>0.682762999986153</v>
      </c>
      <c r="D23" s="23" t="n">
        <f aca="false">MEDIAN('Raw verification'!F35:F39)</f>
        <v>0.265279</v>
      </c>
      <c r="E23" s="21" t="n">
        <f aca="false">MAX('Raw verification'!G35:G39)</f>
        <v>1</v>
      </c>
      <c r="F23" s="22" t="n">
        <f aca="false">'SELECT results'!I10</f>
        <v>908.851511999956</v>
      </c>
      <c r="G23" s="22" t="n">
        <f aca="false">MEDIAN('Raw verification'!E40:E44)</f>
        <v>845.485555999971</v>
      </c>
      <c r="H23" s="24" t="n">
        <f aca="false">MEDIAN('Raw verification'!F40:F44)</f>
        <v>845.069312</v>
      </c>
      <c r="I23" s="21" t="n">
        <f aca="false">MAX('Raw verification'!G40:G44)</f>
        <v>1000000</v>
      </c>
    </row>
    <row r="24" customFormat="false" ht="15" hidden="false" customHeight="false" outlineLevel="0" collapsed="false">
      <c r="A24" s="21" t="n">
        <v>1000000</v>
      </c>
      <c r="B24" s="22" t="n">
        <f aca="false">'SELECT results'!E11</f>
        <v>0.792620000027</v>
      </c>
      <c r="C24" s="22" t="n">
        <f aca="false">MEDIAN('Raw verification'!E45:E49)</f>
        <v>1.14379800004372</v>
      </c>
      <c r="D24" s="23" t="n">
        <f aca="false">MEDIAN('Raw verification'!F45:F49)</f>
        <v>0.448783</v>
      </c>
      <c r="E24" s="21" t="n">
        <f aca="false">MAX('Raw verification'!G45:G49)</f>
        <v>1</v>
      </c>
      <c r="F24" s="22" t="n">
        <f aca="false">'SELECT results'!I11</f>
        <v>1080.15677900005</v>
      </c>
      <c r="G24" s="22" t="n">
        <f aca="false">MEDIAN('Raw verification'!E50:E54)</f>
        <v>845.299662000002</v>
      </c>
      <c r="H24" s="24" t="n">
        <f aca="false">MEDIAN('Raw verification'!F50:F54)</f>
        <v>844.916247</v>
      </c>
      <c r="I24" s="21" t="n">
        <f aca="false">MAX('Raw verification'!G50:G54)</f>
        <v>1000000</v>
      </c>
    </row>
    <row r="25" customFormat="false" ht="15" hidden="false" customHeight="false" outlineLevel="0" collapsed="false">
      <c r="A25" s="25" t="s">
        <v>129</v>
      </c>
    </row>
    <row r="27" customFormat="false" ht="15" hidden="false" customHeight="false" outlineLevel="0" collapsed="false">
      <c r="A27" s="6" t="s">
        <v>130</v>
      </c>
    </row>
    <row r="28" customFormat="false" ht="15" hidden="false" customHeight="false" outlineLevel="0" collapsed="false">
      <c r="C28" s="19" t="s">
        <v>80</v>
      </c>
      <c r="D28" s="19"/>
      <c r="E28" s="19"/>
      <c r="F28" s="20" t="s">
        <v>81</v>
      </c>
      <c r="G28" s="20"/>
      <c r="H28" s="20"/>
    </row>
    <row r="29" customFormat="false" ht="35.05" hidden="false" customHeight="false" outlineLevel="0" collapsed="false">
      <c r="A29" s="7" t="s">
        <v>22</v>
      </c>
      <c r="B29" s="7" t="s">
        <v>23</v>
      </c>
      <c r="C29" s="7" t="s">
        <v>131</v>
      </c>
      <c r="D29" s="7" t="s">
        <v>132</v>
      </c>
      <c r="E29" s="7" t="s">
        <v>133</v>
      </c>
      <c r="F29" s="7" t="s">
        <v>131</v>
      </c>
      <c r="G29" s="7" t="s">
        <v>132</v>
      </c>
      <c r="H29" s="7" t="s">
        <v>133</v>
      </c>
      <c r="I29" s="7" t="s">
        <v>134</v>
      </c>
      <c r="J29" s="7" t="s">
        <v>135</v>
      </c>
    </row>
    <row r="30" customFormat="false" ht="15" hidden="false" customHeight="false" outlineLevel="0" collapsed="false">
      <c r="A30" s="8" t="s">
        <v>84</v>
      </c>
      <c r="B30" s="12" t="n">
        <v>1000000</v>
      </c>
      <c r="C30" s="22" t="n">
        <f aca="false">'INSERT results'!G6</f>
        <v>55.823336436</v>
      </c>
      <c r="D30" s="22" t="n">
        <f aca="false">'Raw verification'!E59</f>
        <v>56.708367688</v>
      </c>
      <c r="E30" s="23" t="n">
        <f aca="false">'Raw verification'!F59</f>
        <v>30.954988552</v>
      </c>
      <c r="F30" s="22" t="n">
        <f aca="false">'INSERT results'!K6</f>
        <v>54.635121221</v>
      </c>
      <c r="G30" s="22" t="n">
        <f aca="false">'Raw verification'!E60</f>
        <v>33.601339096</v>
      </c>
      <c r="H30" s="24" t="n">
        <f aca="false">'Raw verification'!F60</f>
        <v>17.684745495</v>
      </c>
      <c r="I30" s="12" t="n">
        <f aca="false">'Raw verification'!G59</f>
        <v>1000000</v>
      </c>
      <c r="J30" s="12" t="n">
        <f aca="false">'Raw verification'!G60</f>
        <v>1000000</v>
      </c>
    </row>
    <row r="31" customFormat="false" ht="15" hidden="false" customHeight="false" outlineLevel="0" collapsed="false">
      <c r="A31" s="8" t="s">
        <v>85</v>
      </c>
      <c r="B31" s="12" t="n">
        <v>20000</v>
      </c>
      <c r="C31" s="22" t="n">
        <f aca="false">'INSERT results'!G7</f>
        <v>0.798594783999988</v>
      </c>
      <c r="D31" s="22" t="n">
        <f aca="false">'Raw verification'!E61</f>
        <v>0.749585235000041</v>
      </c>
      <c r="E31" s="23" t="n">
        <f aca="false">'Raw verification'!F61</f>
        <v>0.427533389</v>
      </c>
      <c r="F31" s="22" t="n">
        <f aca="false">'INSERT results'!K7</f>
        <v>0.708386510999958</v>
      </c>
      <c r="G31" s="22" t="n">
        <f aca="false">'Raw verification'!E62</f>
        <v>0.756412953999984</v>
      </c>
      <c r="H31" s="24" t="n">
        <f aca="false">'Raw verification'!F62</f>
        <v>0.386938598</v>
      </c>
      <c r="I31" s="12" t="n">
        <f aca="false">'Raw verification'!G61</f>
        <v>1020000</v>
      </c>
      <c r="J31" s="12" t="n">
        <f aca="false">'Raw verification'!G62</f>
        <v>1020000</v>
      </c>
    </row>
    <row r="32" customFormat="false" ht="15" hidden="false" customHeight="false" outlineLevel="0" collapsed="false">
      <c r="A32" s="8" t="s">
        <v>86</v>
      </c>
      <c r="B32" s="12" t="n">
        <v>40000</v>
      </c>
      <c r="C32" s="22" t="n">
        <f aca="false">'INSERT results'!G8</f>
        <v>1.43643765100001</v>
      </c>
      <c r="D32" s="22" t="n">
        <f aca="false">'Raw verification'!E63</f>
        <v>1.27745766199996</v>
      </c>
      <c r="E32" s="23" t="n">
        <f aca="false">'Raw verification'!F63</f>
        <v>0.708480528</v>
      </c>
      <c r="F32" s="22" t="n">
        <f aca="false">'INSERT results'!K8</f>
        <v>1.39809351600002</v>
      </c>
      <c r="G32" s="22" t="n">
        <f aca="false">'Raw verification'!E64</f>
        <v>1.24318639000001</v>
      </c>
      <c r="H32" s="24" t="n">
        <f aca="false">'Raw verification'!F64</f>
        <v>0.646316394</v>
      </c>
      <c r="I32" s="12" t="n">
        <f aca="false">'Raw verification'!G63</f>
        <v>1060000</v>
      </c>
      <c r="J32" s="12" t="n">
        <f aca="false">'Raw verification'!G64</f>
        <v>1060000</v>
      </c>
    </row>
    <row r="33" customFormat="false" ht="15" hidden="false" customHeight="false" outlineLevel="0" collapsed="false">
      <c r="A33" s="8" t="s">
        <v>87</v>
      </c>
      <c r="B33" s="12" t="n">
        <v>60000</v>
      </c>
      <c r="C33" s="22" t="n">
        <f aca="false">'INSERT results'!G9</f>
        <v>2.93526346700003</v>
      </c>
      <c r="D33" s="22" t="n">
        <f aca="false">'Raw verification'!E65</f>
        <v>1.98986570700004</v>
      </c>
      <c r="E33" s="23" t="n">
        <f aca="false">'Raw verification'!F65</f>
        <v>1.086613423</v>
      </c>
      <c r="F33" s="22" t="n">
        <f aca="false">'INSERT results'!K9</f>
        <v>2.11868159699998</v>
      </c>
      <c r="G33" s="22" t="n">
        <f aca="false">'Raw verification'!E66</f>
        <v>1.92735950699989</v>
      </c>
      <c r="H33" s="24" t="n">
        <f aca="false">'Raw verification'!F66</f>
        <v>1.014152742</v>
      </c>
      <c r="I33" s="12" t="n">
        <f aca="false">'Raw verification'!G65</f>
        <v>1120000</v>
      </c>
      <c r="J33" s="12" t="n">
        <f aca="false">'Raw verification'!G66</f>
        <v>1120000</v>
      </c>
    </row>
    <row r="34" customFormat="false" ht="15" hidden="false" customHeight="false" outlineLevel="0" collapsed="false">
      <c r="A34" s="8" t="s">
        <v>88</v>
      </c>
      <c r="B34" s="12" t="n">
        <v>100000</v>
      </c>
      <c r="C34" s="22" t="n">
        <f aca="false">'INSERT results'!G10</f>
        <v>3.56671292800002</v>
      </c>
      <c r="D34" s="22" t="n">
        <f aca="false">'Raw verification'!E67</f>
        <v>3.22351614199999</v>
      </c>
      <c r="E34" s="23" t="n">
        <f aca="false">'Raw verification'!F67</f>
        <v>1.781666465</v>
      </c>
      <c r="F34" s="22" t="n">
        <f aca="false">'INSERT results'!K10</f>
        <v>3.53373852200002</v>
      </c>
      <c r="G34" s="22" t="n">
        <f aca="false">'Raw verification'!E68</f>
        <v>3.17067805700003</v>
      </c>
      <c r="H34" s="24" t="n">
        <f aca="false">'Raw verification'!F68</f>
        <v>1.680908856</v>
      </c>
      <c r="I34" s="12" t="n">
        <f aca="false">'Raw verification'!G67</f>
        <v>1220000</v>
      </c>
      <c r="J34" s="12" t="n">
        <f aca="false">'Raw verification'!G68</f>
        <v>1220000</v>
      </c>
    </row>
    <row r="35" customFormat="false" ht="15" hidden="false" customHeight="false" outlineLevel="0" collapsed="false">
      <c r="A35" s="25" t="s">
        <v>136</v>
      </c>
    </row>
  </sheetData>
  <mergeCells count="7">
    <mergeCell ref="B5:F5"/>
    <mergeCell ref="B6:F6"/>
    <mergeCell ref="B7:F7"/>
    <mergeCell ref="B18:E18"/>
    <mergeCell ref="F18:I18"/>
    <mergeCell ref="C28:E28"/>
    <mergeCell ref="F28:H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6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20"/>
    <col collapsed="false" customWidth="true" hidden="false" outlineLevel="0" max="8" min="8" style="0" width="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6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20"/>
    <col collapsed="false" customWidth="true" hidden="false" outlineLevel="0" max="16" min="16" style="0" width="15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15" hidden="false" customHeight="false" outlineLevel="0" collapsed="false">
      <c r="A4" s="19" t="s">
        <v>139</v>
      </c>
      <c r="B4" s="19"/>
      <c r="C4" s="19"/>
      <c r="D4" s="19"/>
      <c r="E4" s="19"/>
      <c r="F4" s="19"/>
      <c r="G4" s="19"/>
      <c r="I4" s="20" t="s">
        <v>140</v>
      </c>
      <c r="J4" s="20"/>
      <c r="K4" s="20"/>
      <c r="L4" s="20"/>
      <c r="M4" s="20"/>
      <c r="N4" s="20"/>
      <c r="O4" s="20"/>
    </row>
    <row r="5" customFormat="false" ht="15" hidden="false" customHeight="false" outlineLevel="0" collapsed="false">
      <c r="A5" s="7" t="s">
        <v>141</v>
      </c>
      <c r="B5" s="7" t="s">
        <v>142</v>
      </c>
      <c r="C5" s="7" t="s">
        <v>143</v>
      </c>
      <c r="D5" s="7" t="s">
        <v>144</v>
      </c>
      <c r="E5" s="7" t="s">
        <v>145</v>
      </c>
      <c r="F5" s="7" t="s">
        <v>146</v>
      </c>
      <c r="G5" s="7" t="s">
        <v>147</v>
      </c>
      <c r="I5" s="7" t="s">
        <v>141</v>
      </c>
      <c r="J5" s="7" t="s">
        <v>142</v>
      </c>
      <c r="K5" s="7" t="s">
        <v>143</v>
      </c>
      <c r="L5" s="7" t="s">
        <v>144</v>
      </c>
      <c r="M5" s="7" t="s">
        <v>145</v>
      </c>
      <c r="N5" s="7" t="s">
        <v>146</v>
      </c>
      <c r="O5" s="7" t="s">
        <v>147</v>
      </c>
      <c r="P5" s="7" t="s">
        <v>148</v>
      </c>
    </row>
    <row r="6" customFormat="false" ht="15" hidden="false" customHeight="false" outlineLevel="0" collapsed="false">
      <c r="A6" s="12" t="n">
        <v>1</v>
      </c>
      <c r="B6" s="26" t="s">
        <v>149</v>
      </c>
      <c r="C6" s="26" t="s">
        <v>150</v>
      </c>
      <c r="D6" s="26" t="n">
        <v>43</v>
      </c>
      <c r="E6" s="26" t="s">
        <v>151</v>
      </c>
      <c r="F6" s="33" t="n">
        <v>5715807.44</v>
      </c>
      <c r="G6" s="26" t="s">
        <v>152</v>
      </c>
      <c r="I6" s="12" t="n">
        <v>1</v>
      </c>
      <c r="J6" s="26" t="s">
        <v>149</v>
      </c>
      <c r="K6" s="26" t="s">
        <v>150</v>
      </c>
      <c r="L6" s="26" t="n">
        <v>43</v>
      </c>
      <c r="M6" s="26" t="s">
        <v>151</v>
      </c>
      <c r="N6" s="33" t="n">
        <v>5715807.44</v>
      </c>
      <c r="O6" s="26" t="s">
        <v>152</v>
      </c>
      <c r="P6" s="8" t="str">
        <f aca="false">IF(AND(A6=I6,B6=J6,C6=K6,D6=L6,E6=M6,F6=N6,G6=O6),"Yes","NO")</f>
        <v>Yes</v>
      </c>
    </row>
    <row r="7" customFormat="false" ht="15" hidden="false" customHeight="false" outlineLevel="0" collapsed="false">
      <c r="A7" s="12" t="n">
        <v>2</v>
      </c>
      <c r="B7" s="26" t="s">
        <v>153</v>
      </c>
      <c r="C7" s="26" t="s">
        <v>154</v>
      </c>
      <c r="D7" s="26" t="n">
        <v>51</v>
      </c>
      <c r="E7" s="26" t="s">
        <v>155</v>
      </c>
      <c r="F7" s="33" t="n">
        <v>31234151.83</v>
      </c>
      <c r="G7" s="26" t="s">
        <v>156</v>
      </c>
      <c r="I7" s="12" t="n">
        <v>2</v>
      </c>
      <c r="J7" s="26" t="s">
        <v>153</v>
      </c>
      <c r="K7" s="26" t="s">
        <v>154</v>
      </c>
      <c r="L7" s="26" t="n">
        <v>51</v>
      </c>
      <c r="M7" s="26" t="s">
        <v>155</v>
      </c>
      <c r="N7" s="33" t="n">
        <v>31234151.83</v>
      </c>
      <c r="O7" s="26" t="s">
        <v>156</v>
      </c>
      <c r="P7" s="8" t="str">
        <f aca="false">IF(AND(A7=I7,B7=J7,C7=K7,D7=L7,E7=M7,F7=N7,G7=O7),"Yes","NO")</f>
        <v>Yes</v>
      </c>
    </row>
    <row r="8" customFormat="false" ht="15" hidden="false" customHeight="false" outlineLevel="0" collapsed="false">
      <c r="A8" s="12" t="n">
        <v>3</v>
      </c>
      <c r="B8" s="26" t="s">
        <v>157</v>
      </c>
      <c r="C8" s="26" t="s">
        <v>158</v>
      </c>
      <c r="D8" s="26" t="n">
        <v>52</v>
      </c>
      <c r="E8" s="26" t="s">
        <v>159</v>
      </c>
      <c r="F8" s="33" t="n">
        <v>13640075.7</v>
      </c>
      <c r="G8" s="26" t="s">
        <v>160</v>
      </c>
      <c r="I8" s="12" t="n">
        <v>3</v>
      </c>
      <c r="J8" s="26" t="s">
        <v>157</v>
      </c>
      <c r="K8" s="26" t="s">
        <v>158</v>
      </c>
      <c r="L8" s="26" t="n">
        <v>52</v>
      </c>
      <c r="M8" s="26" t="s">
        <v>159</v>
      </c>
      <c r="N8" s="33" t="n">
        <v>13640075.7</v>
      </c>
      <c r="O8" s="26" t="s">
        <v>160</v>
      </c>
      <c r="P8" s="8" t="str">
        <f aca="false">IF(AND(A8=I8,B8=J8,C8=K8,D8=L8,E8=M8,F8=N8,G8=O8),"Yes","NO")</f>
        <v>Yes</v>
      </c>
    </row>
    <row r="9" customFormat="false" ht="15" hidden="false" customHeight="false" outlineLevel="0" collapsed="false">
      <c r="A9" s="12" t="n">
        <v>4</v>
      </c>
      <c r="B9" s="26" t="s">
        <v>161</v>
      </c>
      <c r="C9" s="26" t="s">
        <v>162</v>
      </c>
      <c r="D9" s="26" t="n">
        <v>51</v>
      </c>
      <c r="E9" s="26" t="s">
        <v>163</v>
      </c>
      <c r="F9" s="33" t="n">
        <v>40833470.9</v>
      </c>
      <c r="G9" s="26" t="s">
        <v>164</v>
      </c>
      <c r="I9" s="12" t="n">
        <v>4</v>
      </c>
      <c r="J9" s="26" t="s">
        <v>161</v>
      </c>
      <c r="K9" s="26" t="s">
        <v>162</v>
      </c>
      <c r="L9" s="26" t="n">
        <v>51</v>
      </c>
      <c r="M9" s="26" t="s">
        <v>163</v>
      </c>
      <c r="N9" s="33" t="n">
        <v>40833470.9</v>
      </c>
      <c r="O9" s="26" t="s">
        <v>164</v>
      </c>
      <c r="P9" s="8" t="str">
        <f aca="false">IF(AND(A9=I9,B9=J9,C9=K9,D9=L9,E9=M9,F9=N9,G9=O9),"Yes","NO")</f>
        <v>Yes</v>
      </c>
    </row>
    <row r="10" customFormat="false" ht="15" hidden="false" customHeight="false" outlineLevel="0" collapsed="false">
      <c r="A10" s="12" t="n">
        <v>5</v>
      </c>
      <c r="B10" s="26" t="s">
        <v>165</v>
      </c>
      <c r="C10" s="26" t="s">
        <v>166</v>
      </c>
      <c r="D10" s="26" t="n">
        <v>40</v>
      </c>
      <c r="E10" s="26" t="s">
        <v>159</v>
      </c>
      <c r="F10" s="33" t="n">
        <v>42011579.66</v>
      </c>
      <c r="G10" s="26" t="s">
        <v>167</v>
      </c>
      <c r="I10" s="12" t="n">
        <v>5</v>
      </c>
      <c r="J10" s="26" t="s">
        <v>165</v>
      </c>
      <c r="K10" s="26" t="s">
        <v>166</v>
      </c>
      <c r="L10" s="26" t="n">
        <v>40</v>
      </c>
      <c r="M10" s="26" t="s">
        <v>159</v>
      </c>
      <c r="N10" s="33" t="n">
        <v>42011579.66</v>
      </c>
      <c r="O10" s="26" t="s">
        <v>167</v>
      </c>
      <c r="P10" s="8" t="str">
        <f aca="false">IF(AND(A10=I10,B10=J10,C10=K10,D10=L10,E10=M10,F10=N10,G10=O10),"Yes","NO")</f>
        <v>Yes</v>
      </c>
    </row>
    <row r="11" customFormat="false" ht="15" hidden="false" customHeight="false" outlineLevel="0" collapsed="false">
      <c r="A11" s="12" t="n">
        <v>6</v>
      </c>
      <c r="B11" s="26" t="s">
        <v>168</v>
      </c>
      <c r="C11" s="26" t="s">
        <v>169</v>
      </c>
      <c r="D11" s="26" t="n">
        <v>28</v>
      </c>
      <c r="E11" s="26" t="s">
        <v>170</v>
      </c>
      <c r="F11" s="33" t="n">
        <v>4396593.78</v>
      </c>
      <c r="G11" s="26" t="s">
        <v>171</v>
      </c>
      <c r="I11" s="12" t="n">
        <v>6</v>
      </c>
      <c r="J11" s="26" t="s">
        <v>168</v>
      </c>
      <c r="K11" s="26" t="s">
        <v>169</v>
      </c>
      <c r="L11" s="26" t="n">
        <v>28</v>
      </c>
      <c r="M11" s="26" t="s">
        <v>170</v>
      </c>
      <c r="N11" s="33" t="n">
        <v>4396593.78</v>
      </c>
      <c r="O11" s="26" t="s">
        <v>171</v>
      </c>
      <c r="P11" s="8" t="str">
        <f aca="false">IF(AND(A11=I11,B11=J11,C11=K11,D11=L11,E11=M11,F11=N11,G11=O11),"Yes","NO")</f>
        <v>Yes</v>
      </c>
    </row>
    <row r="12" customFormat="false" ht="15" hidden="false" customHeight="false" outlineLevel="0" collapsed="false">
      <c r="A12" s="12" t="n">
        <v>7</v>
      </c>
      <c r="B12" s="26" t="s">
        <v>172</v>
      </c>
      <c r="C12" s="26" t="s">
        <v>173</v>
      </c>
      <c r="D12" s="26" t="n">
        <v>39</v>
      </c>
      <c r="E12" s="26" t="s">
        <v>174</v>
      </c>
      <c r="F12" s="33" t="n">
        <v>26056456.03</v>
      </c>
      <c r="G12" s="26" t="s">
        <v>175</v>
      </c>
      <c r="I12" s="12" t="n">
        <v>7</v>
      </c>
      <c r="J12" s="26" t="s">
        <v>172</v>
      </c>
      <c r="K12" s="26" t="s">
        <v>173</v>
      </c>
      <c r="L12" s="26" t="n">
        <v>39</v>
      </c>
      <c r="M12" s="26" t="s">
        <v>174</v>
      </c>
      <c r="N12" s="33" t="n">
        <v>26056456.03</v>
      </c>
      <c r="O12" s="26" t="s">
        <v>175</v>
      </c>
      <c r="P12" s="8" t="str">
        <f aca="false">IF(AND(A12=I12,B12=J12,C12=K12,D12=L12,E12=M12,F12=N12,G12=O12),"Yes","NO")</f>
        <v>Yes</v>
      </c>
    </row>
    <row r="13" customFormat="false" ht="15" hidden="false" customHeight="false" outlineLevel="0" collapsed="false">
      <c r="A13" s="12" t="n">
        <v>8</v>
      </c>
      <c r="B13" s="26" t="s">
        <v>176</v>
      </c>
      <c r="C13" s="26" t="s">
        <v>177</v>
      </c>
      <c r="D13" s="26" t="n">
        <v>46</v>
      </c>
      <c r="E13" s="26" t="s">
        <v>178</v>
      </c>
      <c r="F13" s="33" t="n">
        <v>27707559.69</v>
      </c>
      <c r="G13" s="26" t="s">
        <v>179</v>
      </c>
      <c r="I13" s="12" t="n">
        <v>8</v>
      </c>
      <c r="J13" s="26" t="s">
        <v>176</v>
      </c>
      <c r="K13" s="26" t="s">
        <v>177</v>
      </c>
      <c r="L13" s="26" t="n">
        <v>46</v>
      </c>
      <c r="M13" s="26" t="s">
        <v>178</v>
      </c>
      <c r="N13" s="33" t="n">
        <v>27707559.69</v>
      </c>
      <c r="O13" s="26" t="s">
        <v>179</v>
      </c>
      <c r="P13" s="8" t="str">
        <f aca="false">IF(AND(A13=I13,B13=J13,C13=K13,D13=L13,E13=M13,F13=N13,G13=O13),"Yes","NO")</f>
        <v>Yes</v>
      </c>
    </row>
    <row r="14" customFormat="false" ht="15" hidden="false" customHeight="false" outlineLevel="0" collapsed="false">
      <c r="A14" s="12" t="n">
        <v>9</v>
      </c>
      <c r="B14" s="26" t="s">
        <v>180</v>
      </c>
      <c r="C14" s="26" t="s">
        <v>181</v>
      </c>
      <c r="D14" s="26" t="n">
        <v>60</v>
      </c>
      <c r="E14" s="26" t="s">
        <v>178</v>
      </c>
      <c r="F14" s="33" t="n">
        <v>36997219.55</v>
      </c>
      <c r="G14" s="26" t="s">
        <v>182</v>
      </c>
      <c r="I14" s="12" t="n">
        <v>9</v>
      </c>
      <c r="J14" s="26" t="s">
        <v>180</v>
      </c>
      <c r="K14" s="26" t="s">
        <v>181</v>
      </c>
      <c r="L14" s="26" t="n">
        <v>60</v>
      </c>
      <c r="M14" s="26" t="s">
        <v>178</v>
      </c>
      <c r="N14" s="33" t="n">
        <v>36997219.55</v>
      </c>
      <c r="O14" s="26" t="s">
        <v>182</v>
      </c>
      <c r="P14" s="8" t="str">
        <f aca="false">IF(AND(A14=I14,B14=J14,C14=K14,D14=L14,E14=M14,F14=N14,G14=O14),"Yes","NO")</f>
        <v>Yes</v>
      </c>
    </row>
    <row r="15" customFormat="false" ht="15" hidden="false" customHeight="false" outlineLevel="0" collapsed="false">
      <c r="A15" s="12" t="n">
        <v>10</v>
      </c>
      <c r="B15" s="26" t="s">
        <v>183</v>
      </c>
      <c r="C15" s="26" t="s">
        <v>184</v>
      </c>
      <c r="D15" s="26" t="n">
        <v>48</v>
      </c>
      <c r="E15" s="26" t="s">
        <v>159</v>
      </c>
      <c r="F15" s="33" t="n">
        <v>9607294.37</v>
      </c>
      <c r="G15" s="26" t="s">
        <v>185</v>
      </c>
      <c r="I15" s="12" t="n">
        <v>10</v>
      </c>
      <c r="J15" s="26" t="s">
        <v>183</v>
      </c>
      <c r="K15" s="26" t="s">
        <v>184</v>
      </c>
      <c r="L15" s="26" t="n">
        <v>48</v>
      </c>
      <c r="M15" s="26" t="s">
        <v>159</v>
      </c>
      <c r="N15" s="33" t="n">
        <v>9607294.37</v>
      </c>
      <c r="O15" s="26" t="s">
        <v>185</v>
      </c>
      <c r="P15" s="8" t="str">
        <f aca="false">IF(AND(A15=I15,B15=J15,C15=K15,D15=L15,E15=M15,F15=N15,G15=O15),"Yes","NO")</f>
        <v>Yes</v>
      </c>
    </row>
    <row r="16" customFormat="false" ht="15" hidden="false" customHeight="false" outlineLevel="0" collapsed="false">
      <c r="A16" s="12" t="n">
        <v>1000</v>
      </c>
      <c r="B16" s="26" t="s">
        <v>186</v>
      </c>
      <c r="C16" s="26" t="s">
        <v>187</v>
      </c>
      <c r="D16" s="26" t="n">
        <v>56</v>
      </c>
      <c r="E16" s="26" t="s">
        <v>188</v>
      </c>
      <c r="F16" s="33" t="n">
        <v>29409307.05</v>
      </c>
      <c r="G16" s="26" t="s">
        <v>189</v>
      </c>
      <c r="I16" s="12" t="n">
        <v>1000</v>
      </c>
      <c r="J16" s="26" t="s">
        <v>186</v>
      </c>
      <c r="K16" s="26" t="s">
        <v>187</v>
      </c>
      <c r="L16" s="26" t="n">
        <v>56</v>
      </c>
      <c r="M16" s="26" t="s">
        <v>188</v>
      </c>
      <c r="N16" s="33" t="n">
        <v>29409307.05</v>
      </c>
      <c r="O16" s="26" t="s">
        <v>189</v>
      </c>
      <c r="P16" s="8" t="str">
        <f aca="false">IF(AND(A16=I16,B16=J16,C16=K16,D16=L16,E16=M16,F16=N16,G16=O16),"Yes","NO")</f>
        <v>Yes</v>
      </c>
    </row>
    <row r="17" customFormat="false" ht="15" hidden="false" customHeight="false" outlineLevel="0" collapsed="false">
      <c r="A17" s="12" t="n">
        <v>10000</v>
      </c>
      <c r="B17" s="26" t="s">
        <v>190</v>
      </c>
      <c r="C17" s="26" t="s">
        <v>191</v>
      </c>
      <c r="D17" s="26" t="n">
        <v>55</v>
      </c>
      <c r="E17" s="26" t="s">
        <v>174</v>
      </c>
      <c r="F17" s="33" t="n">
        <v>33081797.01</v>
      </c>
      <c r="G17" s="26" t="s">
        <v>192</v>
      </c>
      <c r="I17" s="12" t="n">
        <v>10000</v>
      </c>
      <c r="J17" s="26" t="s">
        <v>190</v>
      </c>
      <c r="K17" s="26" t="s">
        <v>191</v>
      </c>
      <c r="L17" s="26" t="n">
        <v>55</v>
      </c>
      <c r="M17" s="26" t="s">
        <v>174</v>
      </c>
      <c r="N17" s="33" t="n">
        <v>33081797.01</v>
      </c>
      <c r="O17" s="26" t="s">
        <v>192</v>
      </c>
      <c r="P17" s="8" t="str">
        <f aca="false">IF(AND(A17=I17,B17=J17,C17=K17,D17=L17,E17=M17,F17=N17,G17=O17),"Yes","NO")</f>
        <v>Yes</v>
      </c>
    </row>
    <row r="18" customFormat="false" ht="15" hidden="false" customHeight="false" outlineLevel="0" collapsed="false">
      <c r="A18" s="12" t="n">
        <v>100000</v>
      </c>
      <c r="B18" s="26" t="s">
        <v>193</v>
      </c>
      <c r="C18" s="26" t="s">
        <v>194</v>
      </c>
      <c r="D18" s="26" t="n">
        <v>46</v>
      </c>
      <c r="E18" s="26" t="s">
        <v>155</v>
      </c>
      <c r="F18" s="33" t="n">
        <v>20475322</v>
      </c>
      <c r="G18" s="26" t="s">
        <v>195</v>
      </c>
      <c r="I18" s="12" t="n">
        <v>100000</v>
      </c>
      <c r="J18" s="26" t="s">
        <v>193</v>
      </c>
      <c r="K18" s="26" t="s">
        <v>194</v>
      </c>
      <c r="L18" s="26" t="n">
        <v>46</v>
      </c>
      <c r="M18" s="26" t="s">
        <v>155</v>
      </c>
      <c r="N18" s="33" t="n">
        <v>20475322</v>
      </c>
      <c r="O18" s="26" t="s">
        <v>195</v>
      </c>
      <c r="P18" s="8" t="str">
        <f aca="false">IF(AND(A18=I18,B18=J18,C18=K18,D18=L18,E18=M18,F18=N18,G18=O18),"Yes","NO")</f>
        <v>Yes</v>
      </c>
    </row>
    <row r="19" customFormat="false" ht="15" hidden="false" customHeight="false" outlineLevel="0" collapsed="false">
      <c r="A19" s="12" t="n">
        <v>1000000</v>
      </c>
      <c r="B19" s="26" t="s">
        <v>196</v>
      </c>
      <c r="C19" s="26" t="s">
        <v>197</v>
      </c>
      <c r="D19" s="26" t="n">
        <v>44</v>
      </c>
      <c r="E19" s="26" t="s">
        <v>178</v>
      </c>
      <c r="F19" s="33" t="n">
        <v>36514640.38</v>
      </c>
      <c r="G19" s="26" t="s">
        <v>198</v>
      </c>
      <c r="I19" s="12" t="n">
        <v>1000000</v>
      </c>
      <c r="J19" s="26" t="s">
        <v>196</v>
      </c>
      <c r="K19" s="26" t="s">
        <v>197</v>
      </c>
      <c r="L19" s="26" t="n">
        <v>44</v>
      </c>
      <c r="M19" s="26" t="s">
        <v>178</v>
      </c>
      <c r="N19" s="33" t="n">
        <v>36514640.38</v>
      </c>
      <c r="O19" s="26" t="s">
        <v>198</v>
      </c>
      <c r="P19" s="8" t="str">
        <f aca="false">IF(AND(A19=I19,B19=J19,C19=K19,D19=L19,E19=M19,F19=N19,G19=O19),"Yes","NO")</f>
        <v>Yes</v>
      </c>
    </row>
  </sheetData>
  <mergeCells count="2">
    <mergeCell ref="A4:G4"/>
    <mergeCell ref="I4:O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6"/>
    <col collapsed="false" customWidth="true" hidden="false" outlineLevel="0" max="3" min="3" style="0" width="12"/>
    <col collapsed="false" customWidth="true" hidden="false" outlineLevel="0" max="6" min="4" style="0" width="14"/>
    <col collapsed="false" customWidth="true" hidden="false" outlineLevel="0" max="7" min="7" style="0" width="19"/>
    <col collapsed="false" customWidth="true" hidden="false" outlineLevel="0" max="8" min="8" style="0" width="23"/>
    <col collapsed="false" customWidth="true" hidden="false" outlineLevel="0" max="9" min="9" style="0" width="16"/>
  </cols>
  <sheetData>
    <row r="1" customFormat="false" ht="17.35" hidden="false" customHeight="false" outlineLevel="0" collapsed="false">
      <c r="A1" s="1" t="s">
        <v>199</v>
      </c>
    </row>
    <row r="2" customFormat="false" ht="15" hidden="false" customHeight="false" outlineLevel="0" collapsed="false">
      <c r="A2" s="2" t="s">
        <v>200</v>
      </c>
    </row>
    <row r="4" customFormat="false" ht="23.85" hidden="false" customHeight="false" outlineLevel="0" collapsed="false">
      <c r="A4" s="7" t="s">
        <v>93</v>
      </c>
      <c r="B4" s="7" t="s">
        <v>201</v>
      </c>
      <c r="C4" s="7" t="s">
        <v>67</v>
      </c>
      <c r="D4" s="7" t="s">
        <v>202</v>
      </c>
      <c r="E4" s="7" t="s">
        <v>203</v>
      </c>
      <c r="F4" s="7" t="s">
        <v>204</v>
      </c>
      <c r="G4" s="7" t="s">
        <v>205</v>
      </c>
      <c r="H4" s="7" t="s">
        <v>206</v>
      </c>
      <c r="I4" s="7" t="s">
        <v>207</v>
      </c>
    </row>
    <row r="5" customFormat="false" ht="15" hidden="false" customHeight="false" outlineLevel="0" collapsed="false">
      <c r="A5" s="26" t="s">
        <v>76</v>
      </c>
      <c r="B5" s="26" t="s">
        <v>208</v>
      </c>
      <c r="C5" s="12" t="n">
        <v>10</v>
      </c>
      <c r="D5" s="34" t="s">
        <v>209</v>
      </c>
      <c r="E5" s="34" t="s">
        <v>210</v>
      </c>
      <c r="F5" s="12" t="n">
        <v>1</v>
      </c>
      <c r="G5" s="12" t="n">
        <v>1</v>
      </c>
      <c r="H5" s="12" t="n">
        <v>0</v>
      </c>
      <c r="I5" s="21" t="n">
        <f aca="false">IF(H5&gt;0,H5,G5)</f>
        <v>1</v>
      </c>
    </row>
    <row r="6" customFormat="false" ht="15" hidden="false" customHeight="false" outlineLevel="0" collapsed="false">
      <c r="A6" s="26" t="s">
        <v>76</v>
      </c>
      <c r="B6" s="26" t="s">
        <v>208</v>
      </c>
      <c r="C6" s="12" t="n">
        <v>1000</v>
      </c>
      <c r="D6" s="34" t="s">
        <v>209</v>
      </c>
      <c r="E6" s="34" t="s">
        <v>210</v>
      </c>
      <c r="F6" s="12" t="n">
        <v>1</v>
      </c>
      <c r="G6" s="12" t="n">
        <v>1</v>
      </c>
      <c r="H6" s="12" t="n">
        <v>0</v>
      </c>
      <c r="I6" s="21" t="n">
        <f aca="false">IF(H6&gt;0,H6,G6)</f>
        <v>1</v>
      </c>
    </row>
    <row r="7" customFormat="false" ht="15" hidden="false" customHeight="false" outlineLevel="0" collapsed="false">
      <c r="A7" s="26" t="s">
        <v>76</v>
      </c>
      <c r="B7" s="26" t="s">
        <v>208</v>
      </c>
      <c r="C7" s="12" t="n">
        <v>10000</v>
      </c>
      <c r="D7" s="34" t="s">
        <v>209</v>
      </c>
      <c r="E7" s="34" t="s">
        <v>210</v>
      </c>
      <c r="F7" s="12" t="n">
        <v>1</v>
      </c>
      <c r="G7" s="12" t="n">
        <v>1</v>
      </c>
      <c r="H7" s="12" t="n">
        <v>0</v>
      </c>
      <c r="I7" s="21" t="n">
        <f aca="false">IF(H7&gt;0,H7,G7)</f>
        <v>1</v>
      </c>
    </row>
    <row r="8" customFormat="false" ht="15" hidden="false" customHeight="false" outlineLevel="0" collapsed="false">
      <c r="A8" s="26" t="s">
        <v>76</v>
      </c>
      <c r="B8" s="26" t="s">
        <v>208</v>
      </c>
      <c r="C8" s="12" t="n">
        <v>100000</v>
      </c>
      <c r="D8" s="34" t="s">
        <v>209</v>
      </c>
      <c r="E8" s="34" t="s">
        <v>210</v>
      </c>
      <c r="F8" s="12" t="n">
        <v>1</v>
      </c>
      <c r="G8" s="12" t="n">
        <v>1</v>
      </c>
      <c r="H8" s="12" t="n">
        <v>0</v>
      </c>
      <c r="I8" s="21" t="n">
        <f aca="false">IF(H8&gt;0,H8,G8)</f>
        <v>1</v>
      </c>
    </row>
    <row r="9" customFormat="false" ht="15" hidden="false" customHeight="false" outlineLevel="0" collapsed="false">
      <c r="A9" s="26" t="s">
        <v>76</v>
      </c>
      <c r="B9" s="26" t="s">
        <v>208</v>
      </c>
      <c r="C9" s="12" t="n">
        <v>1000000</v>
      </c>
      <c r="D9" s="34" t="s">
        <v>209</v>
      </c>
      <c r="E9" s="34" t="s">
        <v>210</v>
      </c>
      <c r="F9" s="12" t="n">
        <v>1</v>
      </c>
      <c r="G9" s="12" t="n">
        <v>1</v>
      </c>
      <c r="H9" s="12" t="n">
        <v>0</v>
      </c>
      <c r="I9" s="21" t="n">
        <f aca="false">IF(H9&gt;0,H9,G9)</f>
        <v>1</v>
      </c>
    </row>
    <row r="10" customFormat="false" ht="15" hidden="false" customHeight="false" outlineLevel="0" collapsed="false">
      <c r="A10" s="26" t="s">
        <v>77</v>
      </c>
      <c r="B10" s="26" t="s">
        <v>208</v>
      </c>
      <c r="C10" s="12" t="n">
        <v>10</v>
      </c>
      <c r="D10" s="34" t="s">
        <v>211</v>
      </c>
      <c r="E10" s="34" t="s">
        <v>212</v>
      </c>
      <c r="F10" s="12" t="n">
        <v>993492</v>
      </c>
      <c r="G10" s="12" t="n">
        <v>1</v>
      </c>
      <c r="H10" s="12" t="n">
        <v>1000001</v>
      </c>
      <c r="I10" s="21" t="n">
        <f aca="false">IF(H10&gt;0,H10,G10)</f>
        <v>1000001</v>
      </c>
    </row>
    <row r="11" customFormat="false" ht="15" hidden="false" customHeight="false" outlineLevel="0" collapsed="false">
      <c r="A11" s="26" t="s">
        <v>77</v>
      </c>
      <c r="B11" s="26" t="s">
        <v>208</v>
      </c>
      <c r="C11" s="12" t="n">
        <v>1000</v>
      </c>
      <c r="D11" s="34" t="s">
        <v>211</v>
      </c>
      <c r="E11" s="34" t="s">
        <v>212</v>
      </c>
      <c r="F11" s="12" t="n">
        <v>993492</v>
      </c>
      <c r="G11" s="12" t="n">
        <v>1</v>
      </c>
      <c r="H11" s="12" t="n">
        <v>1000001</v>
      </c>
      <c r="I11" s="21" t="n">
        <f aca="false">IF(H11&gt;0,H11,G11)</f>
        <v>1000001</v>
      </c>
    </row>
    <row r="12" customFormat="false" ht="15" hidden="false" customHeight="false" outlineLevel="0" collapsed="false">
      <c r="A12" s="26" t="s">
        <v>77</v>
      </c>
      <c r="B12" s="26" t="s">
        <v>208</v>
      </c>
      <c r="C12" s="12" t="n">
        <v>10000</v>
      </c>
      <c r="D12" s="34" t="s">
        <v>211</v>
      </c>
      <c r="E12" s="34" t="s">
        <v>212</v>
      </c>
      <c r="F12" s="12" t="n">
        <v>993492</v>
      </c>
      <c r="G12" s="12" t="n">
        <v>1</v>
      </c>
      <c r="H12" s="12" t="n">
        <v>1000001</v>
      </c>
      <c r="I12" s="21" t="n">
        <f aca="false">IF(H12&gt;0,H12,G12)</f>
        <v>1000001</v>
      </c>
    </row>
    <row r="13" customFormat="false" ht="15" hidden="false" customHeight="false" outlineLevel="0" collapsed="false">
      <c r="A13" s="26" t="s">
        <v>77</v>
      </c>
      <c r="B13" s="26" t="s">
        <v>208</v>
      </c>
      <c r="C13" s="12" t="n">
        <v>100000</v>
      </c>
      <c r="D13" s="34" t="s">
        <v>211</v>
      </c>
      <c r="E13" s="34" t="s">
        <v>212</v>
      </c>
      <c r="F13" s="12" t="n">
        <v>993492</v>
      </c>
      <c r="G13" s="12" t="n">
        <v>1</v>
      </c>
      <c r="H13" s="12" t="n">
        <v>1000001</v>
      </c>
      <c r="I13" s="21" t="n">
        <f aca="false">IF(H13&gt;0,H13,G13)</f>
        <v>1000001</v>
      </c>
    </row>
    <row r="14" customFormat="false" ht="15" hidden="false" customHeight="false" outlineLevel="0" collapsed="false">
      <c r="A14" s="26" t="s">
        <v>77</v>
      </c>
      <c r="B14" s="26" t="s">
        <v>208</v>
      </c>
      <c r="C14" s="12" t="n">
        <v>1000000</v>
      </c>
      <c r="D14" s="34" t="s">
        <v>211</v>
      </c>
      <c r="E14" s="34" t="s">
        <v>212</v>
      </c>
      <c r="F14" s="12" t="n">
        <v>993492</v>
      </c>
      <c r="G14" s="12" t="n">
        <v>1</v>
      </c>
      <c r="H14" s="12" t="n">
        <v>1000001</v>
      </c>
      <c r="I14" s="21" t="n">
        <f aca="false">IF(H14&gt;0,H14,G14)</f>
        <v>1000001</v>
      </c>
    </row>
    <row r="15" customFormat="false" ht="15" hidden="false" customHeight="false" outlineLevel="0" collapsed="false">
      <c r="A15" s="26" t="s">
        <v>76</v>
      </c>
      <c r="B15" s="26" t="s">
        <v>213</v>
      </c>
      <c r="C15" s="12" t="n">
        <v>10</v>
      </c>
      <c r="D15" s="34" t="s">
        <v>209</v>
      </c>
      <c r="E15" s="34" t="s">
        <v>210</v>
      </c>
      <c r="F15" s="12" t="n">
        <v>1</v>
      </c>
      <c r="G15" s="12" t="n">
        <v>1</v>
      </c>
      <c r="H15" s="12" t="n">
        <v>0</v>
      </c>
      <c r="I15" s="21" t="n">
        <f aca="false">IF(H15&gt;0,H15,G15)</f>
        <v>1</v>
      </c>
    </row>
    <row r="16" customFormat="false" ht="15" hidden="false" customHeight="false" outlineLevel="0" collapsed="false">
      <c r="A16" s="26" t="s">
        <v>76</v>
      </c>
      <c r="B16" s="26" t="s">
        <v>213</v>
      </c>
      <c r="C16" s="12" t="n">
        <v>1000</v>
      </c>
      <c r="D16" s="34" t="s">
        <v>209</v>
      </c>
      <c r="E16" s="34" t="s">
        <v>210</v>
      </c>
      <c r="F16" s="12" t="n">
        <v>1</v>
      </c>
      <c r="G16" s="12" t="n">
        <v>1</v>
      </c>
      <c r="H16" s="12" t="n">
        <v>0</v>
      </c>
      <c r="I16" s="21" t="n">
        <f aca="false">IF(H16&gt;0,H16,G16)</f>
        <v>1</v>
      </c>
    </row>
    <row r="17" customFormat="false" ht="15" hidden="false" customHeight="false" outlineLevel="0" collapsed="false">
      <c r="A17" s="26" t="s">
        <v>76</v>
      </c>
      <c r="B17" s="26" t="s">
        <v>213</v>
      </c>
      <c r="C17" s="12" t="n">
        <v>10000</v>
      </c>
      <c r="D17" s="34" t="s">
        <v>209</v>
      </c>
      <c r="E17" s="34" t="s">
        <v>210</v>
      </c>
      <c r="F17" s="12" t="n">
        <v>1</v>
      </c>
      <c r="G17" s="12" t="n">
        <v>1</v>
      </c>
      <c r="H17" s="12" t="n">
        <v>0</v>
      </c>
      <c r="I17" s="21" t="n">
        <f aca="false">IF(H17&gt;0,H17,G17)</f>
        <v>1</v>
      </c>
    </row>
    <row r="18" customFormat="false" ht="15" hidden="false" customHeight="false" outlineLevel="0" collapsed="false">
      <c r="A18" s="26" t="s">
        <v>76</v>
      </c>
      <c r="B18" s="26" t="s">
        <v>213</v>
      </c>
      <c r="C18" s="12" t="n">
        <v>100000</v>
      </c>
      <c r="D18" s="34" t="s">
        <v>209</v>
      </c>
      <c r="E18" s="34" t="s">
        <v>210</v>
      </c>
      <c r="F18" s="12" t="n">
        <v>1</v>
      </c>
      <c r="G18" s="12" t="n">
        <v>1</v>
      </c>
      <c r="H18" s="12" t="n">
        <v>0</v>
      </c>
      <c r="I18" s="21" t="n">
        <f aca="false">IF(H18&gt;0,H18,G18)</f>
        <v>1</v>
      </c>
    </row>
    <row r="19" customFormat="false" ht="15" hidden="false" customHeight="false" outlineLevel="0" collapsed="false">
      <c r="A19" s="26" t="s">
        <v>76</v>
      </c>
      <c r="B19" s="26" t="s">
        <v>213</v>
      </c>
      <c r="C19" s="12" t="n">
        <v>1000000</v>
      </c>
      <c r="D19" s="34" t="s">
        <v>209</v>
      </c>
      <c r="E19" s="34" t="s">
        <v>210</v>
      </c>
      <c r="F19" s="12" t="n">
        <v>1</v>
      </c>
      <c r="G19" s="12" t="n">
        <v>1</v>
      </c>
      <c r="H19" s="12" t="n">
        <v>0</v>
      </c>
      <c r="I19" s="21" t="n">
        <f aca="false">IF(H19&gt;0,H19,G19)</f>
        <v>1</v>
      </c>
    </row>
    <row r="20" customFormat="false" ht="15" hidden="false" customHeight="false" outlineLevel="0" collapsed="false">
      <c r="A20" s="26" t="s">
        <v>77</v>
      </c>
      <c r="B20" s="26" t="s">
        <v>213</v>
      </c>
      <c r="C20" s="12" t="n">
        <v>10</v>
      </c>
      <c r="D20" s="34" t="s">
        <v>211</v>
      </c>
      <c r="E20" s="34" t="s">
        <v>212</v>
      </c>
      <c r="F20" s="12" t="n">
        <v>993492</v>
      </c>
      <c r="G20" s="12" t="n">
        <v>1</v>
      </c>
      <c r="H20" s="12" t="n">
        <v>10</v>
      </c>
      <c r="I20" s="21" t="n">
        <f aca="false">IF(H20&gt;0,H20,G20)</f>
        <v>10</v>
      </c>
    </row>
    <row r="21" customFormat="false" ht="15" hidden="false" customHeight="false" outlineLevel="0" collapsed="false">
      <c r="A21" s="26" t="s">
        <v>77</v>
      </c>
      <c r="B21" s="26" t="s">
        <v>213</v>
      </c>
      <c r="C21" s="12" t="n">
        <v>1000</v>
      </c>
      <c r="D21" s="34" t="s">
        <v>211</v>
      </c>
      <c r="E21" s="34" t="s">
        <v>212</v>
      </c>
      <c r="F21" s="12" t="n">
        <v>993492</v>
      </c>
      <c r="G21" s="12" t="n">
        <v>1</v>
      </c>
      <c r="H21" s="12" t="n">
        <v>1000</v>
      </c>
      <c r="I21" s="21" t="n">
        <f aca="false">IF(H21&gt;0,H21,G21)</f>
        <v>1000</v>
      </c>
    </row>
    <row r="22" customFormat="false" ht="15" hidden="false" customHeight="false" outlineLevel="0" collapsed="false">
      <c r="A22" s="26" t="s">
        <v>77</v>
      </c>
      <c r="B22" s="26" t="s">
        <v>213</v>
      </c>
      <c r="C22" s="12" t="n">
        <v>10000</v>
      </c>
      <c r="D22" s="34" t="s">
        <v>211</v>
      </c>
      <c r="E22" s="34" t="s">
        <v>212</v>
      </c>
      <c r="F22" s="12" t="n">
        <v>993492</v>
      </c>
      <c r="G22" s="12" t="n">
        <v>1</v>
      </c>
      <c r="H22" s="12" t="n">
        <v>10000</v>
      </c>
      <c r="I22" s="21" t="n">
        <f aca="false">IF(H22&gt;0,H22,G22)</f>
        <v>10000</v>
      </c>
    </row>
    <row r="23" customFormat="false" ht="15" hidden="false" customHeight="false" outlineLevel="0" collapsed="false">
      <c r="A23" s="26" t="s">
        <v>77</v>
      </c>
      <c r="B23" s="26" t="s">
        <v>213</v>
      </c>
      <c r="C23" s="12" t="n">
        <v>100000</v>
      </c>
      <c r="D23" s="34" t="s">
        <v>211</v>
      </c>
      <c r="E23" s="34" t="s">
        <v>212</v>
      </c>
      <c r="F23" s="12" t="n">
        <v>993492</v>
      </c>
      <c r="G23" s="12" t="n">
        <v>1</v>
      </c>
      <c r="H23" s="12" t="n">
        <v>100000</v>
      </c>
      <c r="I23" s="21" t="n">
        <f aca="false">IF(H23&gt;0,H23,G23)</f>
        <v>100000</v>
      </c>
    </row>
    <row r="24" customFormat="false" ht="15" hidden="false" customHeight="false" outlineLevel="0" collapsed="false">
      <c r="A24" s="26" t="s">
        <v>77</v>
      </c>
      <c r="B24" s="26" t="s">
        <v>213</v>
      </c>
      <c r="C24" s="12" t="n">
        <v>1000000</v>
      </c>
      <c r="D24" s="34" t="s">
        <v>211</v>
      </c>
      <c r="E24" s="34" t="s">
        <v>212</v>
      </c>
      <c r="F24" s="12" t="n">
        <v>993492</v>
      </c>
      <c r="G24" s="12" t="n">
        <v>1</v>
      </c>
      <c r="H24" s="12" t="n">
        <v>1000000</v>
      </c>
      <c r="I24" s="21" t="n">
        <f aca="false">IF(H24&gt;0,H24,G24)</f>
        <v>1000000</v>
      </c>
    </row>
    <row r="26" customFormat="false" ht="15" hidden="false" customHeight="false" outlineLevel="0" collapsed="false">
      <c r="A26" s="25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13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215</v>
      </c>
    </row>
    <row r="2" customFormat="false" ht="15" hidden="false" customHeight="false" outlineLevel="0" collapsed="false">
      <c r="A2" s="2" t="s">
        <v>216</v>
      </c>
    </row>
    <row r="4" customFormat="false" ht="15" hidden="false" customHeight="false" outlineLevel="0" collapsed="false">
      <c r="A4" s="7" t="s">
        <v>217</v>
      </c>
      <c r="B4" s="7" t="s">
        <v>103</v>
      </c>
      <c r="C4" s="7" t="s">
        <v>93</v>
      </c>
      <c r="D4" s="7" t="s">
        <v>218</v>
      </c>
      <c r="E4" s="7" t="s">
        <v>219</v>
      </c>
      <c r="F4" s="7" t="s">
        <v>220</v>
      </c>
    </row>
    <row r="5" customFormat="false" ht="15" hidden="false" customHeight="false" outlineLevel="0" collapsed="false">
      <c r="A5" s="26" t="n">
        <v>1</v>
      </c>
      <c r="B5" s="26" t="s">
        <v>221</v>
      </c>
      <c r="C5" s="26" t="s">
        <v>76</v>
      </c>
      <c r="D5" s="12" t="n">
        <v>1000000</v>
      </c>
      <c r="E5" s="35" t="n">
        <v>83.59375</v>
      </c>
      <c r="F5" s="35" t="n">
        <v>0</v>
      </c>
    </row>
    <row r="6" customFormat="false" ht="15" hidden="false" customHeight="false" outlineLevel="0" collapsed="false">
      <c r="A6" s="26" t="n">
        <v>1</v>
      </c>
      <c r="B6" s="26" t="s">
        <v>221</v>
      </c>
      <c r="C6" s="26" t="s">
        <v>77</v>
      </c>
      <c r="D6" s="12" t="n">
        <v>1000000</v>
      </c>
      <c r="E6" s="35" t="n">
        <v>89.609375</v>
      </c>
      <c r="F6" s="35" t="n">
        <v>0</v>
      </c>
    </row>
    <row r="7" customFormat="false" ht="15" hidden="false" customHeight="false" outlineLevel="0" collapsed="false">
      <c r="A7" s="26" t="n">
        <v>1</v>
      </c>
      <c r="B7" s="26" t="s">
        <v>222</v>
      </c>
      <c r="C7" s="26" t="s">
        <v>76</v>
      </c>
      <c r="D7" s="12" t="n">
        <v>1220000</v>
      </c>
      <c r="E7" s="35" t="n">
        <v>101.609375</v>
      </c>
      <c r="F7" s="35" t="n">
        <v>0</v>
      </c>
    </row>
    <row r="8" customFormat="false" ht="15" hidden="false" customHeight="false" outlineLevel="0" collapsed="false">
      <c r="A8" s="26" t="n">
        <v>1</v>
      </c>
      <c r="B8" s="26" t="s">
        <v>222</v>
      </c>
      <c r="C8" s="26" t="s">
        <v>77</v>
      </c>
      <c r="D8" s="12" t="n">
        <v>1220000</v>
      </c>
      <c r="E8" s="35" t="n">
        <v>109.640625</v>
      </c>
      <c r="F8" s="35" t="n">
        <v>0</v>
      </c>
    </row>
    <row r="9" customFormat="false" ht="15" hidden="false" customHeight="false" outlineLevel="0" collapsed="false">
      <c r="A9" s="26" t="n">
        <v>2</v>
      </c>
      <c r="B9" s="26" t="s">
        <v>221</v>
      </c>
      <c r="C9" s="26" t="s">
        <v>76</v>
      </c>
      <c r="D9" s="12" t="n">
        <v>1000000</v>
      </c>
      <c r="E9" s="35" t="n">
        <v>83.59375</v>
      </c>
      <c r="F9" s="35" t="n">
        <v>0</v>
      </c>
    </row>
    <row r="10" customFormat="false" ht="15" hidden="false" customHeight="false" outlineLevel="0" collapsed="false">
      <c r="A10" s="26" t="n">
        <v>2</v>
      </c>
      <c r="B10" s="26" t="s">
        <v>221</v>
      </c>
      <c r="C10" s="26" t="s">
        <v>77</v>
      </c>
      <c r="D10" s="12" t="n">
        <v>1000000</v>
      </c>
      <c r="E10" s="35" t="n">
        <v>89.609375</v>
      </c>
      <c r="F10" s="35" t="n">
        <v>0</v>
      </c>
    </row>
    <row r="11" customFormat="false" ht="15" hidden="false" customHeight="false" outlineLevel="0" collapsed="false">
      <c r="A11" s="26" t="n">
        <v>2</v>
      </c>
      <c r="B11" s="26" t="s">
        <v>222</v>
      </c>
      <c r="C11" s="26" t="s">
        <v>76</v>
      </c>
      <c r="D11" s="12" t="n">
        <v>1220000</v>
      </c>
      <c r="E11" s="35" t="n">
        <v>101.609375</v>
      </c>
      <c r="F11" s="35" t="n">
        <v>0</v>
      </c>
    </row>
    <row r="12" customFormat="false" ht="15" hidden="false" customHeight="false" outlineLevel="0" collapsed="false">
      <c r="A12" s="26" t="n">
        <v>2</v>
      </c>
      <c r="B12" s="26" t="s">
        <v>222</v>
      </c>
      <c r="C12" s="26" t="s">
        <v>77</v>
      </c>
      <c r="D12" s="12" t="n">
        <v>1220000</v>
      </c>
      <c r="E12" s="35" t="n">
        <v>109.640625</v>
      </c>
      <c r="F12" s="35" t="n">
        <v>0</v>
      </c>
    </row>
    <row r="13" customFormat="false" ht="15" hidden="false" customHeight="false" outlineLevel="0" collapsed="false">
      <c r="A13" s="26" t="n">
        <v>3</v>
      </c>
      <c r="B13" s="26" t="s">
        <v>221</v>
      </c>
      <c r="C13" s="26" t="s">
        <v>76</v>
      </c>
      <c r="D13" s="12" t="n">
        <v>1000000</v>
      </c>
      <c r="E13" s="35" t="n">
        <v>83.59375</v>
      </c>
      <c r="F13" s="35" t="n">
        <v>0</v>
      </c>
    </row>
    <row r="14" customFormat="false" ht="15" hidden="false" customHeight="false" outlineLevel="0" collapsed="false">
      <c r="A14" s="26" t="n">
        <v>3</v>
      </c>
      <c r="B14" s="26" t="s">
        <v>221</v>
      </c>
      <c r="C14" s="26" t="s">
        <v>77</v>
      </c>
      <c r="D14" s="12" t="n">
        <v>1000000</v>
      </c>
      <c r="E14" s="35" t="n">
        <v>89.609375</v>
      </c>
      <c r="F14" s="35" t="n">
        <v>0</v>
      </c>
    </row>
    <row r="15" customFormat="false" ht="15" hidden="false" customHeight="false" outlineLevel="0" collapsed="false">
      <c r="A15" s="26" t="n">
        <v>3</v>
      </c>
      <c r="B15" s="26" t="s">
        <v>222</v>
      </c>
      <c r="C15" s="26" t="s">
        <v>76</v>
      </c>
      <c r="D15" s="12" t="n">
        <v>1220000</v>
      </c>
      <c r="E15" s="35" t="n">
        <v>101.609375</v>
      </c>
      <c r="F15" s="35" t="n">
        <v>0</v>
      </c>
    </row>
    <row r="16" customFormat="false" ht="15" hidden="false" customHeight="false" outlineLevel="0" collapsed="false">
      <c r="A16" s="26" t="n">
        <v>3</v>
      </c>
      <c r="B16" s="26" t="s">
        <v>222</v>
      </c>
      <c r="C16" s="26" t="s">
        <v>77</v>
      </c>
      <c r="D16" s="12" t="n">
        <v>1220000</v>
      </c>
      <c r="E16" s="35" t="n">
        <v>109.640625</v>
      </c>
      <c r="F16" s="35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2"/>
  </cols>
  <sheetData>
    <row r="1" customFormat="false" ht="17.35" hidden="false" customHeight="false" outlineLevel="0" collapsed="false">
      <c r="A1" s="1" t="s">
        <v>223</v>
      </c>
    </row>
    <row r="2" customFormat="false" ht="15" hidden="false" customHeight="false" outlineLevel="0" collapsed="false">
      <c r="A2" s="2" t="s">
        <v>224</v>
      </c>
    </row>
    <row r="4" customFormat="false" ht="15" hidden="false" customHeight="false" outlineLevel="0" collapsed="false">
      <c r="A4" s="7" t="s">
        <v>217</v>
      </c>
      <c r="B4" s="7" t="s">
        <v>103</v>
      </c>
      <c r="C4" s="7" t="s">
        <v>225</v>
      </c>
      <c r="D4" s="7" t="s">
        <v>201</v>
      </c>
      <c r="E4" s="7" t="s">
        <v>93</v>
      </c>
      <c r="F4" s="7" t="s">
        <v>67</v>
      </c>
      <c r="G4" s="7" t="s">
        <v>226</v>
      </c>
      <c r="H4" s="7" t="s">
        <v>227</v>
      </c>
    </row>
    <row r="5" customFormat="false" ht="15" hidden="false" customHeight="false" outlineLevel="0" collapsed="false">
      <c r="A5" s="26" t="n">
        <v>1</v>
      </c>
      <c r="B5" s="26" t="s">
        <v>228</v>
      </c>
      <c r="C5" s="12" t="n">
        <v>1000000</v>
      </c>
      <c r="D5" s="26" t="s">
        <v>208</v>
      </c>
      <c r="E5" s="26" t="s">
        <v>76</v>
      </c>
      <c r="F5" s="12" t="n">
        <v>10</v>
      </c>
      <c r="G5" s="26" t="n">
        <v>1</v>
      </c>
      <c r="H5" s="22" t="n">
        <v>2.02505099997552</v>
      </c>
    </row>
    <row r="6" customFormat="false" ht="15" hidden="false" customHeight="false" outlineLevel="0" collapsed="false">
      <c r="A6" s="26" t="n">
        <v>1</v>
      </c>
      <c r="B6" s="26" t="s">
        <v>228</v>
      </c>
      <c r="C6" s="12" t="n">
        <v>1000000</v>
      </c>
      <c r="D6" s="26" t="s">
        <v>208</v>
      </c>
      <c r="E6" s="26" t="s">
        <v>76</v>
      </c>
      <c r="F6" s="12" t="n">
        <v>10</v>
      </c>
      <c r="G6" s="26" t="n">
        <v>2</v>
      </c>
      <c r="H6" s="22" t="n">
        <v>1.02436300005593</v>
      </c>
    </row>
    <row r="7" customFormat="false" ht="15" hidden="false" customHeight="false" outlineLevel="0" collapsed="false">
      <c r="A7" s="26" t="n">
        <v>1</v>
      </c>
      <c r="B7" s="26" t="s">
        <v>228</v>
      </c>
      <c r="C7" s="12" t="n">
        <v>1000000</v>
      </c>
      <c r="D7" s="26" t="s">
        <v>208</v>
      </c>
      <c r="E7" s="26" t="s">
        <v>76</v>
      </c>
      <c r="F7" s="12" t="n">
        <v>10</v>
      </c>
      <c r="G7" s="26" t="n">
        <v>3</v>
      </c>
      <c r="H7" s="22" t="n">
        <v>6.71074100000624</v>
      </c>
    </row>
    <row r="8" customFormat="false" ht="15" hidden="false" customHeight="false" outlineLevel="0" collapsed="false">
      <c r="A8" s="26" t="n">
        <v>1</v>
      </c>
      <c r="B8" s="26" t="s">
        <v>228</v>
      </c>
      <c r="C8" s="12" t="n">
        <v>1000000</v>
      </c>
      <c r="D8" s="26" t="s">
        <v>208</v>
      </c>
      <c r="E8" s="26" t="s">
        <v>76</v>
      </c>
      <c r="F8" s="12" t="n">
        <v>10</v>
      </c>
      <c r="G8" s="26" t="n">
        <v>4</v>
      </c>
      <c r="H8" s="22" t="n">
        <v>0.678555999968467</v>
      </c>
    </row>
    <row r="9" customFormat="false" ht="15" hidden="false" customHeight="false" outlineLevel="0" collapsed="false">
      <c r="A9" s="26" t="n">
        <v>1</v>
      </c>
      <c r="B9" s="26" t="s">
        <v>228</v>
      </c>
      <c r="C9" s="12" t="n">
        <v>1000000</v>
      </c>
      <c r="D9" s="26" t="s">
        <v>208</v>
      </c>
      <c r="E9" s="26" t="s">
        <v>76</v>
      </c>
      <c r="F9" s="12" t="n">
        <v>10</v>
      </c>
      <c r="G9" s="26" t="n">
        <v>5</v>
      </c>
      <c r="H9" s="22" t="n">
        <v>0.658031000000392</v>
      </c>
    </row>
    <row r="10" customFormat="false" ht="15" hidden="false" customHeight="false" outlineLevel="0" collapsed="false">
      <c r="A10" s="26" t="n">
        <v>1</v>
      </c>
      <c r="B10" s="26" t="s">
        <v>228</v>
      </c>
      <c r="C10" s="12" t="n">
        <v>1000000</v>
      </c>
      <c r="D10" s="26" t="s">
        <v>208</v>
      </c>
      <c r="E10" s="26" t="s">
        <v>77</v>
      </c>
      <c r="F10" s="12" t="n">
        <v>10</v>
      </c>
      <c r="G10" s="26" t="n">
        <v>1</v>
      </c>
      <c r="H10" s="22" t="n">
        <v>964.969565999979</v>
      </c>
    </row>
    <row r="11" customFormat="false" ht="15" hidden="false" customHeight="false" outlineLevel="0" collapsed="false">
      <c r="A11" s="26" t="n">
        <v>1</v>
      </c>
      <c r="B11" s="26" t="s">
        <v>228</v>
      </c>
      <c r="C11" s="12" t="n">
        <v>1000000</v>
      </c>
      <c r="D11" s="26" t="s">
        <v>208</v>
      </c>
      <c r="E11" s="26" t="s">
        <v>77</v>
      </c>
      <c r="F11" s="12" t="n">
        <v>10</v>
      </c>
      <c r="G11" s="26" t="n">
        <v>2</v>
      </c>
      <c r="H11" s="22" t="n">
        <v>916.048324999963</v>
      </c>
    </row>
    <row r="12" customFormat="false" ht="15" hidden="false" customHeight="false" outlineLevel="0" collapsed="false">
      <c r="A12" s="26" t="n">
        <v>1</v>
      </c>
      <c r="B12" s="26" t="s">
        <v>228</v>
      </c>
      <c r="C12" s="12" t="n">
        <v>1000000</v>
      </c>
      <c r="D12" s="26" t="s">
        <v>208</v>
      </c>
      <c r="E12" s="26" t="s">
        <v>77</v>
      </c>
      <c r="F12" s="12" t="n">
        <v>10</v>
      </c>
      <c r="G12" s="26" t="n">
        <v>3</v>
      </c>
      <c r="H12" s="22" t="n">
        <v>805.603098000006</v>
      </c>
    </row>
    <row r="13" customFormat="false" ht="15" hidden="false" customHeight="false" outlineLevel="0" collapsed="false">
      <c r="A13" s="26" t="n">
        <v>1</v>
      </c>
      <c r="B13" s="26" t="s">
        <v>228</v>
      </c>
      <c r="C13" s="12" t="n">
        <v>1000000</v>
      </c>
      <c r="D13" s="26" t="s">
        <v>208</v>
      </c>
      <c r="E13" s="26" t="s">
        <v>77</v>
      </c>
      <c r="F13" s="12" t="n">
        <v>10</v>
      </c>
      <c r="G13" s="26" t="n">
        <v>4</v>
      </c>
      <c r="H13" s="22" t="n">
        <v>918.970751000018</v>
      </c>
    </row>
    <row r="14" customFormat="false" ht="15" hidden="false" customHeight="false" outlineLevel="0" collapsed="false">
      <c r="A14" s="26" t="n">
        <v>1</v>
      </c>
      <c r="B14" s="26" t="s">
        <v>228</v>
      </c>
      <c r="C14" s="12" t="n">
        <v>1000000</v>
      </c>
      <c r="D14" s="26" t="s">
        <v>208</v>
      </c>
      <c r="E14" s="26" t="s">
        <v>77</v>
      </c>
      <c r="F14" s="12" t="n">
        <v>10</v>
      </c>
      <c r="G14" s="26" t="n">
        <v>5</v>
      </c>
      <c r="H14" s="22" t="n">
        <v>795.192369999995</v>
      </c>
    </row>
    <row r="15" customFormat="false" ht="15" hidden="false" customHeight="false" outlineLevel="0" collapsed="false">
      <c r="A15" s="26" t="n">
        <v>1</v>
      </c>
      <c r="B15" s="26" t="s">
        <v>228</v>
      </c>
      <c r="C15" s="12" t="n">
        <v>1000000</v>
      </c>
      <c r="D15" s="26" t="s">
        <v>208</v>
      </c>
      <c r="E15" s="26" t="s">
        <v>76</v>
      </c>
      <c r="F15" s="12" t="n">
        <v>1000</v>
      </c>
      <c r="G15" s="26" t="n">
        <v>1</v>
      </c>
      <c r="H15" s="22" t="n">
        <v>0.680038999973931</v>
      </c>
    </row>
    <row r="16" customFormat="false" ht="15" hidden="false" customHeight="false" outlineLevel="0" collapsed="false">
      <c r="A16" s="26" t="n">
        <v>1</v>
      </c>
      <c r="B16" s="26" t="s">
        <v>228</v>
      </c>
      <c r="C16" s="12" t="n">
        <v>1000000</v>
      </c>
      <c r="D16" s="26" t="s">
        <v>208</v>
      </c>
      <c r="E16" s="26" t="s">
        <v>76</v>
      </c>
      <c r="F16" s="12" t="n">
        <v>1000</v>
      </c>
      <c r="G16" s="26" t="n">
        <v>2</v>
      </c>
      <c r="H16" s="22" t="n">
        <v>0.754233999998633</v>
      </c>
    </row>
    <row r="17" customFormat="false" ht="15" hidden="false" customHeight="false" outlineLevel="0" collapsed="false">
      <c r="A17" s="26" t="n">
        <v>1</v>
      </c>
      <c r="B17" s="26" t="s">
        <v>228</v>
      </c>
      <c r="C17" s="12" t="n">
        <v>1000000</v>
      </c>
      <c r="D17" s="26" t="s">
        <v>208</v>
      </c>
      <c r="E17" s="26" t="s">
        <v>76</v>
      </c>
      <c r="F17" s="12" t="n">
        <v>1000</v>
      </c>
      <c r="G17" s="26" t="n">
        <v>3</v>
      </c>
      <c r="H17" s="22" t="n">
        <v>0.61046000001852</v>
      </c>
    </row>
    <row r="18" customFormat="false" ht="15" hidden="false" customHeight="false" outlineLevel="0" collapsed="false">
      <c r="A18" s="26" t="n">
        <v>1</v>
      </c>
      <c r="B18" s="26" t="s">
        <v>228</v>
      </c>
      <c r="C18" s="12" t="n">
        <v>1000000</v>
      </c>
      <c r="D18" s="26" t="s">
        <v>208</v>
      </c>
      <c r="E18" s="26" t="s">
        <v>76</v>
      </c>
      <c r="F18" s="12" t="n">
        <v>1000</v>
      </c>
      <c r="G18" s="26" t="n">
        <v>4</v>
      </c>
      <c r="H18" s="22" t="n">
        <v>0.657288000013523</v>
      </c>
    </row>
    <row r="19" customFormat="false" ht="15" hidden="false" customHeight="false" outlineLevel="0" collapsed="false">
      <c r="A19" s="26" t="n">
        <v>1</v>
      </c>
      <c r="B19" s="26" t="s">
        <v>228</v>
      </c>
      <c r="C19" s="12" t="n">
        <v>1000000</v>
      </c>
      <c r="D19" s="26" t="s">
        <v>208</v>
      </c>
      <c r="E19" s="26" t="s">
        <v>76</v>
      </c>
      <c r="F19" s="12" t="n">
        <v>1000</v>
      </c>
      <c r="G19" s="26" t="n">
        <v>5</v>
      </c>
      <c r="H19" s="22" t="n">
        <v>0.617734000002201</v>
      </c>
    </row>
    <row r="20" customFormat="false" ht="15" hidden="false" customHeight="false" outlineLevel="0" collapsed="false">
      <c r="A20" s="26" t="n">
        <v>1</v>
      </c>
      <c r="B20" s="26" t="s">
        <v>228</v>
      </c>
      <c r="C20" s="12" t="n">
        <v>1000000</v>
      </c>
      <c r="D20" s="26" t="s">
        <v>208</v>
      </c>
      <c r="E20" s="26" t="s">
        <v>77</v>
      </c>
      <c r="F20" s="12" t="n">
        <v>1000</v>
      </c>
      <c r="G20" s="26" t="n">
        <v>1</v>
      </c>
      <c r="H20" s="22" t="n">
        <v>819.676221000009</v>
      </c>
    </row>
    <row r="21" customFormat="false" ht="15" hidden="false" customHeight="false" outlineLevel="0" collapsed="false">
      <c r="A21" s="26" t="n">
        <v>1</v>
      </c>
      <c r="B21" s="26" t="s">
        <v>228</v>
      </c>
      <c r="C21" s="12" t="n">
        <v>1000000</v>
      </c>
      <c r="D21" s="26" t="s">
        <v>208</v>
      </c>
      <c r="E21" s="26" t="s">
        <v>77</v>
      </c>
      <c r="F21" s="12" t="n">
        <v>1000</v>
      </c>
      <c r="G21" s="26" t="n">
        <v>2</v>
      </c>
      <c r="H21" s="22" t="n">
        <v>920.734048999975</v>
      </c>
    </row>
    <row r="22" customFormat="false" ht="15" hidden="false" customHeight="false" outlineLevel="0" collapsed="false">
      <c r="A22" s="26" t="n">
        <v>1</v>
      </c>
      <c r="B22" s="26" t="s">
        <v>228</v>
      </c>
      <c r="C22" s="12" t="n">
        <v>1000000</v>
      </c>
      <c r="D22" s="26" t="s">
        <v>208</v>
      </c>
      <c r="E22" s="26" t="s">
        <v>77</v>
      </c>
      <c r="F22" s="12" t="n">
        <v>1000</v>
      </c>
      <c r="G22" s="26" t="n">
        <v>3</v>
      </c>
      <c r="H22" s="22" t="n">
        <v>857.092093000006</v>
      </c>
    </row>
    <row r="23" customFormat="false" ht="15" hidden="false" customHeight="false" outlineLevel="0" collapsed="false">
      <c r="A23" s="26" t="n">
        <v>1</v>
      </c>
      <c r="B23" s="26" t="s">
        <v>228</v>
      </c>
      <c r="C23" s="12" t="n">
        <v>1000000</v>
      </c>
      <c r="D23" s="26" t="s">
        <v>208</v>
      </c>
      <c r="E23" s="26" t="s">
        <v>77</v>
      </c>
      <c r="F23" s="12" t="n">
        <v>1000</v>
      </c>
      <c r="G23" s="26" t="n">
        <v>4</v>
      </c>
      <c r="H23" s="22" t="n">
        <v>802.818180000031</v>
      </c>
    </row>
    <row r="24" customFormat="false" ht="15" hidden="false" customHeight="false" outlineLevel="0" collapsed="false">
      <c r="A24" s="26" t="n">
        <v>1</v>
      </c>
      <c r="B24" s="26" t="s">
        <v>228</v>
      </c>
      <c r="C24" s="12" t="n">
        <v>1000000</v>
      </c>
      <c r="D24" s="26" t="s">
        <v>208</v>
      </c>
      <c r="E24" s="26" t="s">
        <v>77</v>
      </c>
      <c r="F24" s="12" t="n">
        <v>1000</v>
      </c>
      <c r="G24" s="26" t="n">
        <v>5</v>
      </c>
      <c r="H24" s="22" t="n">
        <v>841.351248000024</v>
      </c>
    </row>
    <row r="25" customFormat="false" ht="15" hidden="false" customHeight="false" outlineLevel="0" collapsed="false">
      <c r="A25" s="26" t="n">
        <v>1</v>
      </c>
      <c r="B25" s="26" t="s">
        <v>228</v>
      </c>
      <c r="C25" s="12" t="n">
        <v>1000000</v>
      </c>
      <c r="D25" s="26" t="s">
        <v>208</v>
      </c>
      <c r="E25" s="26" t="s">
        <v>76</v>
      </c>
      <c r="F25" s="12" t="n">
        <v>10000</v>
      </c>
      <c r="G25" s="26" t="n">
        <v>1</v>
      </c>
      <c r="H25" s="22" t="n">
        <v>0.661329999957161</v>
      </c>
    </row>
    <row r="26" customFormat="false" ht="15" hidden="false" customHeight="false" outlineLevel="0" collapsed="false">
      <c r="A26" s="26" t="n">
        <v>1</v>
      </c>
      <c r="B26" s="26" t="s">
        <v>228</v>
      </c>
      <c r="C26" s="12" t="n">
        <v>1000000</v>
      </c>
      <c r="D26" s="26" t="s">
        <v>208</v>
      </c>
      <c r="E26" s="26" t="s">
        <v>76</v>
      </c>
      <c r="F26" s="12" t="n">
        <v>10000</v>
      </c>
      <c r="G26" s="26" t="n">
        <v>2</v>
      </c>
      <c r="H26" s="22" t="n">
        <v>0.614874999996573</v>
      </c>
    </row>
    <row r="27" customFormat="false" ht="15" hidden="false" customHeight="false" outlineLevel="0" collapsed="false">
      <c r="A27" s="26" t="n">
        <v>1</v>
      </c>
      <c r="B27" s="26" t="s">
        <v>228</v>
      </c>
      <c r="C27" s="12" t="n">
        <v>1000000</v>
      </c>
      <c r="D27" s="26" t="s">
        <v>208</v>
      </c>
      <c r="E27" s="26" t="s">
        <v>76</v>
      </c>
      <c r="F27" s="12" t="n">
        <v>10000</v>
      </c>
      <c r="G27" s="26" t="n">
        <v>3</v>
      </c>
      <c r="H27" s="22" t="n">
        <v>0.612134999983027</v>
      </c>
    </row>
    <row r="28" customFormat="false" ht="15" hidden="false" customHeight="false" outlineLevel="0" collapsed="false">
      <c r="A28" s="26" t="n">
        <v>1</v>
      </c>
      <c r="B28" s="26" t="s">
        <v>228</v>
      </c>
      <c r="C28" s="12" t="n">
        <v>1000000</v>
      </c>
      <c r="D28" s="26" t="s">
        <v>208</v>
      </c>
      <c r="E28" s="26" t="s">
        <v>76</v>
      </c>
      <c r="F28" s="12" t="n">
        <v>10000</v>
      </c>
      <c r="G28" s="26" t="n">
        <v>4</v>
      </c>
      <c r="H28" s="22" t="n">
        <v>1.22797200003788</v>
      </c>
    </row>
    <row r="29" customFormat="false" ht="15" hidden="false" customHeight="false" outlineLevel="0" collapsed="false">
      <c r="A29" s="26" t="n">
        <v>1</v>
      </c>
      <c r="B29" s="26" t="s">
        <v>228</v>
      </c>
      <c r="C29" s="12" t="n">
        <v>1000000</v>
      </c>
      <c r="D29" s="26" t="s">
        <v>208</v>
      </c>
      <c r="E29" s="26" t="s">
        <v>76</v>
      </c>
      <c r="F29" s="12" t="n">
        <v>10000</v>
      </c>
      <c r="G29" s="26" t="n">
        <v>5</v>
      </c>
      <c r="H29" s="22" t="n">
        <v>1.14903100001129</v>
      </c>
    </row>
    <row r="30" customFormat="false" ht="15" hidden="false" customHeight="false" outlineLevel="0" collapsed="false">
      <c r="A30" s="26" t="n">
        <v>1</v>
      </c>
      <c r="B30" s="26" t="s">
        <v>228</v>
      </c>
      <c r="C30" s="12" t="n">
        <v>1000000</v>
      </c>
      <c r="D30" s="26" t="s">
        <v>208</v>
      </c>
      <c r="E30" s="26" t="s">
        <v>77</v>
      </c>
      <c r="F30" s="12" t="n">
        <v>10000</v>
      </c>
      <c r="G30" s="26" t="n">
        <v>1</v>
      </c>
      <c r="H30" s="22" t="n">
        <v>770.573968999997</v>
      </c>
    </row>
    <row r="31" customFormat="false" ht="15" hidden="false" customHeight="false" outlineLevel="0" collapsed="false">
      <c r="A31" s="26" t="n">
        <v>1</v>
      </c>
      <c r="B31" s="26" t="s">
        <v>228</v>
      </c>
      <c r="C31" s="12" t="n">
        <v>1000000</v>
      </c>
      <c r="D31" s="26" t="s">
        <v>208</v>
      </c>
      <c r="E31" s="26" t="s">
        <v>77</v>
      </c>
      <c r="F31" s="12" t="n">
        <v>10000</v>
      </c>
      <c r="G31" s="26" t="n">
        <v>2</v>
      </c>
      <c r="H31" s="22" t="n">
        <v>793.647485999998</v>
      </c>
    </row>
    <row r="32" customFormat="false" ht="15" hidden="false" customHeight="false" outlineLevel="0" collapsed="false">
      <c r="A32" s="26" t="n">
        <v>1</v>
      </c>
      <c r="B32" s="26" t="s">
        <v>228</v>
      </c>
      <c r="C32" s="12" t="n">
        <v>1000000</v>
      </c>
      <c r="D32" s="26" t="s">
        <v>208</v>
      </c>
      <c r="E32" s="26" t="s">
        <v>77</v>
      </c>
      <c r="F32" s="12" t="n">
        <v>10000</v>
      </c>
      <c r="G32" s="26" t="n">
        <v>3</v>
      </c>
      <c r="H32" s="22" t="n">
        <v>753.095665999979</v>
      </c>
    </row>
    <row r="33" customFormat="false" ht="15" hidden="false" customHeight="false" outlineLevel="0" collapsed="false">
      <c r="A33" s="26" t="n">
        <v>1</v>
      </c>
      <c r="B33" s="26" t="s">
        <v>228</v>
      </c>
      <c r="C33" s="12" t="n">
        <v>1000000</v>
      </c>
      <c r="D33" s="26" t="s">
        <v>208</v>
      </c>
      <c r="E33" s="26" t="s">
        <v>77</v>
      </c>
      <c r="F33" s="12" t="n">
        <v>10000</v>
      </c>
      <c r="G33" s="26" t="n">
        <v>4</v>
      </c>
      <c r="H33" s="22" t="n">
        <v>863.216319000003</v>
      </c>
    </row>
    <row r="34" customFormat="false" ht="15" hidden="false" customHeight="false" outlineLevel="0" collapsed="false">
      <c r="A34" s="26" t="n">
        <v>1</v>
      </c>
      <c r="B34" s="26" t="s">
        <v>228</v>
      </c>
      <c r="C34" s="12" t="n">
        <v>1000000</v>
      </c>
      <c r="D34" s="26" t="s">
        <v>208</v>
      </c>
      <c r="E34" s="26" t="s">
        <v>77</v>
      </c>
      <c r="F34" s="12" t="n">
        <v>10000</v>
      </c>
      <c r="G34" s="26" t="n">
        <v>5</v>
      </c>
      <c r="H34" s="22" t="n">
        <v>773.938698999984</v>
      </c>
    </row>
    <row r="35" customFormat="false" ht="15" hidden="false" customHeight="false" outlineLevel="0" collapsed="false">
      <c r="A35" s="26" t="n">
        <v>1</v>
      </c>
      <c r="B35" s="26" t="s">
        <v>228</v>
      </c>
      <c r="C35" s="12" t="n">
        <v>1000000</v>
      </c>
      <c r="D35" s="26" t="s">
        <v>208</v>
      </c>
      <c r="E35" s="26" t="s">
        <v>76</v>
      </c>
      <c r="F35" s="12" t="n">
        <v>100000</v>
      </c>
      <c r="G35" s="26" t="n">
        <v>1</v>
      </c>
      <c r="H35" s="22" t="n">
        <v>0.74364400001059</v>
      </c>
    </row>
    <row r="36" customFormat="false" ht="15" hidden="false" customHeight="false" outlineLevel="0" collapsed="false">
      <c r="A36" s="26" t="n">
        <v>1</v>
      </c>
      <c r="B36" s="26" t="s">
        <v>228</v>
      </c>
      <c r="C36" s="12" t="n">
        <v>1000000</v>
      </c>
      <c r="D36" s="26" t="s">
        <v>208</v>
      </c>
      <c r="E36" s="26" t="s">
        <v>76</v>
      </c>
      <c r="F36" s="12" t="n">
        <v>100000</v>
      </c>
      <c r="G36" s="26" t="n">
        <v>2</v>
      </c>
      <c r="H36" s="22" t="n">
        <v>0.68735799999331</v>
      </c>
    </row>
    <row r="37" customFormat="false" ht="15" hidden="false" customHeight="false" outlineLevel="0" collapsed="false">
      <c r="A37" s="26" t="n">
        <v>1</v>
      </c>
      <c r="B37" s="26" t="s">
        <v>228</v>
      </c>
      <c r="C37" s="12" t="n">
        <v>1000000</v>
      </c>
      <c r="D37" s="26" t="s">
        <v>208</v>
      </c>
      <c r="E37" s="26" t="s">
        <v>76</v>
      </c>
      <c r="F37" s="12" t="n">
        <v>100000</v>
      </c>
      <c r="G37" s="26" t="n">
        <v>3</v>
      </c>
      <c r="H37" s="22" t="n">
        <v>0.636405000022933</v>
      </c>
    </row>
    <row r="38" customFormat="false" ht="15" hidden="false" customHeight="false" outlineLevel="0" collapsed="false">
      <c r="A38" s="26" t="n">
        <v>1</v>
      </c>
      <c r="B38" s="26" t="s">
        <v>228</v>
      </c>
      <c r="C38" s="12" t="n">
        <v>1000000</v>
      </c>
      <c r="D38" s="26" t="s">
        <v>208</v>
      </c>
      <c r="E38" s="26" t="s">
        <v>76</v>
      </c>
      <c r="F38" s="12" t="n">
        <v>100000</v>
      </c>
      <c r="G38" s="26" t="n">
        <v>4</v>
      </c>
      <c r="H38" s="22" t="n">
        <v>0.638294999987465</v>
      </c>
    </row>
    <row r="39" customFormat="false" ht="15" hidden="false" customHeight="false" outlineLevel="0" collapsed="false">
      <c r="A39" s="26" t="n">
        <v>1</v>
      </c>
      <c r="B39" s="26" t="s">
        <v>228</v>
      </c>
      <c r="C39" s="12" t="n">
        <v>1000000</v>
      </c>
      <c r="D39" s="26" t="s">
        <v>208</v>
      </c>
      <c r="E39" s="26" t="s">
        <v>76</v>
      </c>
      <c r="F39" s="12" t="n">
        <v>100000</v>
      </c>
      <c r="G39" s="26" t="n">
        <v>5</v>
      </c>
      <c r="H39" s="22" t="n">
        <v>0.626447999991342</v>
      </c>
    </row>
    <row r="40" customFormat="false" ht="15" hidden="false" customHeight="false" outlineLevel="0" collapsed="false">
      <c r="A40" s="26" t="n">
        <v>1</v>
      </c>
      <c r="B40" s="26" t="s">
        <v>228</v>
      </c>
      <c r="C40" s="12" t="n">
        <v>1000000</v>
      </c>
      <c r="D40" s="26" t="s">
        <v>208</v>
      </c>
      <c r="E40" s="26" t="s">
        <v>77</v>
      </c>
      <c r="F40" s="12" t="n">
        <v>100000</v>
      </c>
      <c r="G40" s="26" t="n">
        <v>1</v>
      </c>
      <c r="H40" s="22" t="n">
        <v>799.974184000007</v>
      </c>
    </row>
    <row r="41" customFormat="false" ht="15" hidden="false" customHeight="false" outlineLevel="0" collapsed="false">
      <c r="A41" s="26" t="n">
        <v>1</v>
      </c>
      <c r="B41" s="26" t="s">
        <v>228</v>
      </c>
      <c r="C41" s="12" t="n">
        <v>1000000</v>
      </c>
      <c r="D41" s="26" t="s">
        <v>208</v>
      </c>
      <c r="E41" s="26" t="s">
        <v>77</v>
      </c>
      <c r="F41" s="12" t="n">
        <v>100000</v>
      </c>
      <c r="G41" s="26" t="n">
        <v>2</v>
      </c>
      <c r="H41" s="22" t="n">
        <v>779.24903600001</v>
      </c>
    </row>
    <row r="42" customFormat="false" ht="15" hidden="false" customHeight="false" outlineLevel="0" collapsed="false">
      <c r="A42" s="26" t="n">
        <v>1</v>
      </c>
      <c r="B42" s="26" t="s">
        <v>228</v>
      </c>
      <c r="C42" s="12" t="n">
        <v>1000000</v>
      </c>
      <c r="D42" s="26" t="s">
        <v>208</v>
      </c>
      <c r="E42" s="26" t="s">
        <v>77</v>
      </c>
      <c r="F42" s="12" t="n">
        <v>100000</v>
      </c>
      <c r="G42" s="26" t="n">
        <v>3</v>
      </c>
      <c r="H42" s="22" t="n">
        <v>809.850283000003</v>
      </c>
    </row>
    <row r="43" customFormat="false" ht="15" hidden="false" customHeight="false" outlineLevel="0" collapsed="false">
      <c r="A43" s="26" t="n">
        <v>1</v>
      </c>
      <c r="B43" s="26" t="s">
        <v>228</v>
      </c>
      <c r="C43" s="12" t="n">
        <v>1000000</v>
      </c>
      <c r="D43" s="26" t="s">
        <v>208</v>
      </c>
      <c r="E43" s="26" t="s">
        <v>77</v>
      </c>
      <c r="F43" s="12" t="n">
        <v>100000</v>
      </c>
      <c r="G43" s="26" t="n">
        <v>4</v>
      </c>
      <c r="H43" s="22" t="n">
        <v>948.202718999994</v>
      </c>
    </row>
    <row r="44" customFormat="false" ht="15" hidden="false" customHeight="false" outlineLevel="0" collapsed="false">
      <c r="A44" s="26" t="n">
        <v>1</v>
      </c>
      <c r="B44" s="26" t="s">
        <v>228</v>
      </c>
      <c r="C44" s="12" t="n">
        <v>1000000</v>
      </c>
      <c r="D44" s="26" t="s">
        <v>208</v>
      </c>
      <c r="E44" s="26" t="s">
        <v>77</v>
      </c>
      <c r="F44" s="12" t="n">
        <v>100000</v>
      </c>
      <c r="G44" s="26" t="n">
        <v>5</v>
      </c>
      <c r="H44" s="22" t="n">
        <v>818.550485999992</v>
      </c>
    </row>
    <row r="45" customFormat="false" ht="15" hidden="false" customHeight="false" outlineLevel="0" collapsed="false">
      <c r="A45" s="26" t="n">
        <v>1</v>
      </c>
      <c r="B45" s="26" t="s">
        <v>228</v>
      </c>
      <c r="C45" s="12" t="n">
        <v>1000000</v>
      </c>
      <c r="D45" s="26" t="s">
        <v>208</v>
      </c>
      <c r="E45" s="26" t="s">
        <v>76</v>
      </c>
      <c r="F45" s="12" t="n">
        <v>1000000</v>
      </c>
      <c r="G45" s="26" t="n">
        <v>1</v>
      </c>
      <c r="H45" s="22" t="n">
        <v>0.792620000027</v>
      </c>
    </row>
    <row r="46" customFormat="false" ht="15" hidden="false" customHeight="false" outlineLevel="0" collapsed="false">
      <c r="A46" s="26" t="n">
        <v>1</v>
      </c>
      <c r="B46" s="26" t="s">
        <v>228</v>
      </c>
      <c r="C46" s="12" t="n">
        <v>1000000</v>
      </c>
      <c r="D46" s="26" t="s">
        <v>208</v>
      </c>
      <c r="E46" s="26" t="s">
        <v>76</v>
      </c>
      <c r="F46" s="12" t="n">
        <v>1000000</v>
      </c>
      <c r="G46" s="26" t="n">
        <v>2</v>
      </c>
      <c r="H46" s="22" t="n">
        <v>0.603533000003154</v>
      </c>
    </row>
    <row r="47" customFormat="false" ht="15" hidden="false" customHeight="false" outlineLevel="0" collapsed="false">
      <c r="A47" s="26" t="n">
        <v>1</v>
      </c>
      <c r="B47" s="26" t="s">
        <v>228</v>
      </c>
      <c r="C47" s="12" t="n">
        <v>1000000</v>
      </c>
      <c r="D47" s="26" t="s">
        <v>208</v>
      </c>
      <c r="E47" s="26" t="s">
        <v>76</v>
      </c>
      <c r="F47" s="12" t="n">
        <v>1000000</v>
      </c>
      <c r="G47" s="26" t="n">
        <v>3</v>
      </c>
      <c r="H47" s="22" t="n">
        <v>0.650791999987632</v>
      </c>
    </row>
    <row r="48" customFormat="false" ht="15" hidden="false" customHeight="false" outlineLevel="0" collapsed="false">
      <c r="A48" s="26" t="n">
        <v>1</v>
      </c>
      <c r="B48" s="26" t="s">
        <v>228</v>
      </c>
      <c r="C48" s="12" t="n">
        <v>1000000</v>
      </c>
      <c r="D48" s="26" t="s">
        <v>208</v>
      </c>
      <c r="E48" s="26" t="s">
        <v>76</v>
      </c>
      <c r="F48" s="12" t="n">
        <v>1000000</v>
      </c>
      <c r="G48" s="26" t="n">
        <v>4</v>
      </c>
      <c r="H48" s="22" t="n">
        <v>0.857262000010906</v>
      </c>
    </row>
    <row r="49" customFormat="false" ht="15" hidden="false" customHeight="false" outlineLevel="0" collapsed="false">
      <c r="A49" s="26" t="n">
        <v>1</v>
      </c>
      <c r="B49" s="26" t="s">
        <v>228</v>
      </c>
      <c r="C49" s="12" t="n">
        <v>1000000</v>
      </c>
      <c r="D49" s="26" t="s">
        <v>208</v>
      </c>
      <c r="E49" s="26" t="s">
        <v>76</v>
      </c>
      <c r="F49" s="12" t="n">
        <v>1000000</v>
      </c>
      <c r="G49" s="26" t="n">
        <v>5</v>
      </c>
      <c r="H49" s="22" t="n">
        <v>1.04903099997955</v>
      </c>
    </row>
    <row r="50" customFormat="false" ht="15" hidden="false" customHeight="false" outlineLevel="0" collapsed="false">
      <c r="A50" s="26" t="n">
        <v>1</v>
      </c>
      <c r="B50" s="26" t="s">
        <v>228</v>
      </c>
      <c r="C50" s="12" t="n">
        <v>1000000</v>
      </c>
      <c r="D50" s="26" t="s">
        <v>208</v>
      </c>
      <c r="E50" s="26" t="s">
        <v>77</v>
      </c>
      <c r="F50" s="12" t="n">
        <v>1000000</v>
      </c>
      <c r="G50" s="26" t="n">
        <v>1</v>
      </c>
      <c r="H50" s="22" t="n">
        <v>823.027999000033</v>
      </c>
    </row>
    <row r="51" customFormat="false" ht="15" hidden="false" customHeight="false" outlineLevel="0" collapsed="false">
      <c r="A51" s="26" t="n">
        <v>1</v>
      </c>
      <c r="B51" s="26" t="s">
        <v>228</v>
      </c>
      <c r="C51" s="12" t="n">
        <v>1000000</v>
      </c>
      <c r="D51" s="26" t="s">
        <v>208</v>
      </c>
      <c r="E51" s="26" t="s">
        <v>77</v>
      </c>
      <c r="F51" s="12" t="n">
        <v>1000000</v>
      </c>
      <c r="G51" s="26" t="n">
        <v>2</v>
      </c>
      <c r="H51" s="22" t="n">
        <v>908.649000000025</v>
      </c>
    </row>
    <row r="52" customFormat="false" ht="15" hidden="false" customHeight="false" outlineLevel="0" collapsed="false">
      <c r="A52" s="26" t="n">
        <v>1</v>
      </c>
      <c r="B52" s="26" t="s">
        <v>228</v>
      </c>
      <c r="C52" s="12" t="n">
        <v>1000000</v>
      </c>
      <c r="D52" s="26" t="s">
        <v>208</v>
      </c>
      <c r="E52" s="26" t="s">
        <v>77</v>
      </c>
      <c r="F52" s="12" t="n">
        <v>1000000</v>
      </c>
      <c r="G52" s="26" t="n">
        <v>3</v>
      </c>
      <c r="H52" s="22" t="n">
        <v>800.721150000015</v>
      </c>
    </row>
    <row r="53" customFormat="false" ht="15" hidden="false" customHeight="false" outlineLevel="0" collapsed="false">
      <c r="A53" s="26" t="n">
        <v>1</v>
      </c>
      <c r="B53" s="26" t="s">
        <v>228</v>
      </c>
      <c r="C53" s="12" t="n">
        <v>1000000</v>
      </c>
      <c r="D53" s="26" t="s">
        <v>208</v>
      </c>
      <c r="E53" s="26" t="s">
        <v>77</v>
      </c>
      <c r="F53" s="12" t="n">
        <v>1000000</v>
      </c>
      <c r="G53" s="26" t="n">
        <v>4</v>
      </c>
      <c r="H53" s="22" t="n">
        <v>762.90215399996</v>
      </c>
    </row>
    <row r="54" customFormat="false" ht="15" hidden="false" customHeight="false" outlineLevel="0" collapsed="false">
      <c r="A54" s="26" t="n">
        <v>1</v>
      </c>
      <c r="B54" s="26" t="s">
        <v>228</v>
      </c>
      <c r="C54" s="12" t="n">
        <v>1000000</v>
      </c>
      <c r="D54" s="26" t="s">
        <v>208</v>
      </c>
      <c r="E54" s="26" t="s">
        <v>77</v>
      </c>
      <c r="F54" s="12" t="n">
        <v>1000000</v>
      </c>
      <c r="G54" s="26" t="n">
        <v>5</v>
      </c>
      <c r="H54" s="22" t="n">
        <v>752.171419999968</v>
      </c>
    </row>
    <row r="55" customFormat="false" ht="15" hidden="false" customHeight="false" outlineLevel="0" collapsed="false">
      <c r="A55" s="26" t="n">
        <v>2</v>
      </c>
      <c r="B55" s="26" t="s">
        <v>228</v>
      </c>
      <c r="C55" s="12" t="n">
        <v>1000000</v>
      </c>
      <c r="D55" s="26" t="s">
        <v>208</v>
      </c>
      <c r="E55" s="26" t="s">
        <v>76</v>
      </c>
      <c r="F55" s="12" t="n">
        <v>10</v>
      </c>
      <c r="G55" s="26" t="n">
        <v>1</v>
      </c>
      <c r="H55" s="22" t="n">
        <v>1.01019800001723</v>
      </c>
    </row>
    <row r="56" customFormat="false" ht="15" hidden="false" customHeight="false" outlineLevel="0" collapsed="false">
      <c r="A56" s="26" t="n">
        <v>2</v>
      </c>
      <c r="B56" s="26" t="s">
        <v>228</v>
      </c>
      <c r="C56" s="12" t="n">
        <v>1000000</v>
      </c>
      <c r="D56" s="26" t="s">
        <v>208</v>
      </c>
      <c r="E56" s="26" t="s">
        <v>76</v>
      </c>
      <c r="F56" s="12" t="n">
        <v>10</v>
      </c>
      <c r="G56" s="26" t="n">
        <v>2</v>
      </c>
      <c r="H56" s="22" t="n">
        <v>0.705986000014036</v>
      </c>
    </row>
    <row r="57" customFormat="false" ht="15" hidden="false" customHeight="false" outlineLevel="0" collapsed="false">
      <c r="A57" s="26" t="n">
        <v>2</v>
      </c>
      <c r="B57" s="26" t="s">
        <v>228</v>
      </c>
      <c r="C57" s="12" t="n">
        <v>1000000</v>
      </c>
      <c r="D57" s="26" t="s">
        <v>208</v>
      </c>
      <c r="E57" s="26" t="s">
        <v>76</v>
      </c>
      <c r="F57" s="12" t="n">
        <v>10</v>
      </c>
      <c r="G57" s="26" t="n">
        <v>3</v>
      </c>
      <c r="H57" s="22" t="n">
        <v>0.656735000006847</v>
      </c>
    </row>
    <row r="58" customFormat="false" ht="15" hidden="false" customHeight="false" outlineLevel="0" collapsed="false">
      <c r="A58" s="26" t="n">
        <v>2</v>
      </c>
      <c r="B58" s="26" t="s">
        <v>228</v>
      </c>
      <c r="C58" s="12" t="n">
        <v>1000000</v>
      </c>
      <c r="D58" s="26" t="s">
        <v>208</v>
      </c>
      <c r="E58" s="26" t="s">
        <v>76</v>
      </c>
      <c r="F58" s="12" t="n">
        <v>10</v>
      </c>
      <c r="G58" s="26" t="n">
        <v>4</v>
      </c>
      <c r="H58" s="22" t="n">
        <v>0.652353000020867</v>
      </c>
    </row>
    <row r="59" customFormat="false" ht="15" hidden="false" customHeight="false" outlineLevel="0" collapsed="false">
      <c r="A59" s="26" t="n">
        <v>2</v>
      </c>
      <c r="B59" s="26" t="s">
        <v>228</v>
      </c>
      <c r="C59" s="12" t="n">
        <v>1000000</v>
      </c>
      <c r="D59" s="26" t="s">
        <v>208</v>
      </c>
      <c r="E59" s="26" t="s">
        <v>76</v>
      </c>
      <c r="F59" s="12" t="n">
        <v>10</v>
      </c>
      <c r="G59" s="26" t="n">
        <v>5</v>
      </c>
      <c r="H59" s="22" t="n">
        <v>0.638674000015271</v>
      </c>
    </row>
    <row r="60" customFormat="false" ht="15" hidden="false" customHeight="false" outlineLevel="0" collapsed="false">
      <c r="A60" s="26" t="n">
        <v>2</v>
      </c>
      <c r="B60" s="26" t="s">
        <v>228</v>
      </c>
      <c r="C60" s="12" t="n">
        <v>1000000</v>
      </c>
      <c r="D60" s="26" t="s">
        <v>208</v>
      </c>
      <c r="E60" s="26" t="s">
        <v>77</v>
      </c>
      <c r="F60" s="12" t="n">
        <v>10</v>
      </c>
      <c r="G60" s="26" t="n">
        <v>1</v>
      </c>
      <c r="H60" s="22" t="n">
        <v>2480.93608699998</v>
      </c>
    </row>
    <row r="61" customFormat="false" ht="15" hidden="false" customHeight="false" outlineLevel="0" collapsed="false">
      <c r="A61" s="26" t="n">
        <v>2</v>
      </c>
      <c r="B61" s="26" t="s">
        <v>228</v>
      </c>
      <c r="C61" s="12" t="n">
        <v>1000000</v>
      </c>
      <c r="D61" s="26" t="s">
        <v>208</v>
      </c>
      <c r="E61" s="26" t="s">
        <v>77</v>
      </c>
      <c r="F61" s="12" t="n">
        <v>10</v>
      </c>
      <c r="G61" s="26" t="n">
        <v>2</v>
      </c>
      <c r="H61" s="22" t="n">
        <v>1243.90583600001</v>
      </c>
    </row>
    <row r="62" customFormat="false" ht="15" hidden="false" customHeight="false" outlineLevel="0" collapsed="false">
      <c r="A62" s="26" t="n">
        <v>2</v>
      </c>
      <c r="B62" s="26" t="s">
        <v>228</v>
      </c>
      <c r="C62" s="12" t="n">
        <v>1000000</v>
      </c>
      <c r="D62" s="26" t="s">
        <v>208</v>
      </c>
      <c r="E62" s="26" t="s">
        <v>77</v>
      </c>
      <c r="F62" s="12" t="n">
        <v>10</v>
      </c>
      <c r="G62" s="26" t="n">
        <v>3</v>
      </c>
      <c r="H62" s="22" t="n">
        <v>5843.638575</v>
      </c>
    </row>
    <row r="63" customFormat="false" ht="15" hidden="false" customHeight="false" outlineLevel="0" collapsed="false">
      <c r="A63" s="26" t="n">
        <v>2</v>
      </c>
      <c r="B63" s="26" t="s">
        <v>228</v>
      </c>
      <c r="C63" s="12" t="n">
        <v>1000000</v>
      </c>
      <c r="D63" s="26" t="s">
        <v>208</v>
      </c>
      <c r="E63" s="26" t="s">
        <v>77</v>
      </c>
      <c r="F63" s="12" t="n">
        <v>10</v>
      </c>
      <c r="G63" s="26" t="n">
        <v>4</v>
      </c>
      <c r="H63" s="22" t="n">
        <v>2825.23250700001</v>
      </c>
    </row>
    <row r="64" customFormat="false" ht="15" hidden="false" customHeight="false" outlineLevel="0" collapsed="false">
      <c r="A64" s="26" t="n">
        <v>2</v>
      </c>
      <c r="B64" s="26" t="s">
        <v>228</v>
      </c>
      <c r="C64" s="12" t="n">
        <v>1000000</v>
      </c>
      <c r="D64" s="26" t="s">
        <v>208</v>
      </c>
      <c r="E64" s="26" t="s">
        <v>77</v>
      </c>
      <c r="F64" s="12" t="n">
        <v>10</v>
      </c>
      <c r="G64" s="26" t="n">
        <v>5</v>
      </c>
      <c r="H64" s="22" t="n">
        <v>2076.17298500003</v>
      </c>
    </row>
    <row r="65" customFormat="false" ht="15" hidden="false" customHeight="false" outlineLevel="0" collapsed="false">
      <c r="A65" s="26" t="n">
        <v>2</v>
      </c>
      <c r="B65" s="26" t="s">
        <v>228</v>
      </c>
      <c r="C65" s="12" t="n">
        <v>1000000</v>
      </c>
      <c r="D65" s="26" t="s">
        <v>208</v>
      </c>
      <c r="E65" s="26" t="s">
        <v>76</v>
      </c>
      <c r="F65" s="12" t="n">
        <v>1000</v>
      </c>
      <c r="G65" s="26" t="n">
        <v>1</v>
      </c>
      <c r="H65" s="22" t="n">
        <v>1.66848999998592</v>
      </c>
    </row>
    <row r="66" customFormat="false" ht="15" hidden="false" customHeight="false" outlineLevel="0" collapsed="false">
      <c r="A66" s="26" t="n">
        <v>2</v>
      </c>
      <c r="B66" s="26" t="s">
        <v>228</v>
      </c>
      <c r="C66" s="12" t="n">
        <v>1000000</v>
      </c>
      <c r="D66" s="26" t="s">
        <v>208</v>
      </c>
      <c r="E66" s="26" t="s">
        <v>76</v>
      </c>
      <c r="F66" s="12" t="n">
        <v>1000</v>
      </c>
      <c r="G66" s="26" t="n">
        <v>2</v>
      </c>
      <c r="H66" s="22" t="n">
        <v>1.50768400004608</v>
      </c>
    </row>
    <row r="67" customFormat="false" ht="15" hidden="false" customHeight="false" outlineLevel="0" collapsed="false">
      <c r="A67" s="26" t="n">
        <v>2</v>
      </c>
      <c r="B67" s="26" t="s">
        <v>228</v>
      </c>
      <c r="C67" s="12" t="n">
        <v>1000000</v>
      </c>
      <c r="D67" s="26" t="s">
        <v>208</v>
      </c>
      <c r="E67" s="26" t="s">
        <v>76</v>
      </c>
      <c r="F67" s="12" t="n">
        <v>1000</v>
      </c>
      <c r="G67" s="26" t="n">
        <v>3</v>
      </c>
      <c r="H67" s="22" t="n">
        <v>0.783257000023241</v>
      </c>
    </row>
    <row r="68" customFormat="false" ht="15" hidden="false" customHeight="false" outlineLevel="0" collapsed="false">
      <c r="A68" s="26" t="n">
        <v>2</v>
      </c>
      <c r="B68" s="26" t="s">
        <v>228</v>
      </c>
      <c r="C68" s="12" t="n">
        <v>1000000</v>
      </c>
      <c r="D68" s="26" t="s">
        <v>208</v>
      </c>
      <c r="E68" s="26" t="s">
        <v>76</v>
      </c>
      <c r="F68" s="12" t="n">
        <v>1000</v>
      </c>
      <c r="G68" s="26" t="n">
        <v>4</v>
      </c>
      <c r="H68" s="22" t="n">
        <v>0.757175999979154</v>
      </c>
    </row>
    <row r="69" customFormat="false" ht="15" hidden="false" customHeight="false" outlineLevel="0" collapsed="false">
      <c r="A69" s="26" t="n">
        <v>2</v>
      </c>
      <c r="B69" s="26" t="s">
        <v>228</v>
      </c>
      <c r="C69" s="12" t="n">
        <v>1000000</v>
      </c>
      <c r="D69" s="26" t="s">
        <v>208</v>
      </c>
      <c r="E69" s="26" t="s">
        <v>76</v>
      </c>
      <c r="F69" s="12" t="n">
        <v>1000</v>
      </c>
      <c r="G69" s="26" t="n">
        <v>5</v>
      </c>
      <c r="H69" s="22" t="n">
        <v>0.691195000001699</v>
      </c>
    </row>
    <row r="70" customFormat="false" ht="15" hidden="false" customHeight="false" outlineLevel="0" collapsed="false">
      <c r="A70" s="26" t="n">
        <v>2</v>
      </c>
      <c r="B70" s="26" t="s">
        <v>228</v>
      </c>
      <c r="C70" s="12" t="n">
        <v>1000000</v>
      </c>
      <c r="D70" s="26" t="s">
        <v>208</v>
      </c>
      <c r="E70" s="26" t="s">
        <v>77</v>
      </c>
      <c r="F70" s="12" t="n">
        <v>1000</v>
      </c>
      <c r="G70" s="26" t="n">
        <v>1</v>
      </c>
      <c r="H70" s="22" t="n">
        <v>1316.78680499999</v>
      </c>
    </row>
    <row r="71" customFormat="false" ht="15" hidden="false" customHeight="false" outlineLevel="0" collapsed="false">
      <c r="A71" s="26" t="n">
        <v>2</v>
      </c>
      <c r="B71" s="26" t="s">
        <v>228</v>
      </c>
      <c r="C71" s="12" t="n">
        <v>1000000</v>
      </c>
      <c r="D71" s="26" t="s">
        <v>208</v>
      </c>
      <c r="E71" s="26" t="s">
        <v>77</v>
      </c>
      <c r="F71" s="12" t="n">
        <v>1000</v>
      </c>
      <c r="G71" s="26" t="n">
        <v>2</v>
      </c>
      <c r="H71" s="22" t="n">
        <v>1573.91926900004</v>
      </c>
    </row>
    <row r="72" customFormat="false" ht="15" hidden="false" customHeight="false" outlineLevel="0" collapsed="false">
      <c r="A72" s="26" t="n">
        <v>2</v>
      </c>
      <c r="B72" s="26" t="s">
        <v>228</v>
      </c>
      <c r="C72" s="12" t="n">
        <v>1000000</v>
      </c>
      <c r="D72" s="26" t="s">
        <v>208</v>
      </c>
      <c r="E72" s="26" t="s">
        <v>77</v>
      </c>
      <c r="F72" s="12" t="n">
        <v>1000</v>
      </c>
      <c r="G72" s="26" t="n">
        <v>3</v>
      </c>
      <c r="H72" s="22" t="n">
        <v>1798.68929899999</v>
      </c>
    </row>
    <row r="73" customFormat="false" ht="15" hidden="false" customHeight="false" outlineLevel="0" collapsed="false">
      <c r="A73" s="26" t="n">
        <v>2</v>
      </c>
      <c r="B73" s="26" t="s">
        <v>228</v>
      </c>
      <c r="C73" s="12" t="n">
        <v>1000000</v>
      </c>
      <c r="D73" s="26" t="s">
        <v>208</v>
      </c>
      <c r="E73" s="26" t="s">
        <v>77</v>
      </c>
      <c r="F73" s="12" t="n">
        <v>1000</v>
      </c>
      <c r="G73" s="26" t="n">
        <v>4</v>
      </c>
      <c r="H73" s="22" t="n">
        <v>2357.21617899998</v>
      </c>
    </row>
    <row r="74" customFormat="false" ht="15" hidden="false" customHeight="false" outlineLevel="0" collapsed="false">
      <c r="A74" s="26" t="n">
        <v>2</v>
      </c>
      <c r="B74" s="26" t="s">
        <v>228</v>
      </c>
      <c r="C74" s="12" t="n">
        <v>1000000</v>
      </c>
      <c r="D74" s="26" t="s">
        <v>208</v>
      </c>
      <c r="E74" s="26" t="s">
        <v>77</v>
      </c>
      <c r="F74" s="12" t="n">
        <v>1000</v>
      </c>
      <c r="G74" s="26" t="n">
        <v>5</v>
      </c>
      <c r="H74" s="22" t="n">
        <v>2013.13169400004</v>
      </c>
    </row>
    <row r="75" customFormat="false" ht="15" hidden="false" customHeight="false" outlineLevel="0" collapsed="false">
      <c r="A75" s="26" t="n">
        <v>2</v>
      </c>
      <c r="B75" s="26" t="s">
        <v>228</v>
      </c>
      <c r="C75" s="12" t="n">
        <v>1000000</v>
      </c>
      <c r="D75" s="26" t="s">
        <v>208</v>
      </c>
      <c r="E75" s="26" t="s">
        <v>76</v>
      </c>
      <c r="F75" s="12" t="n">
        <v>10000</v>
      </c>
      <c r="G75" s="26" t="n">
        <v>1</v>
      </c>
      <c r="H75" s="22" t="n">
        <v>2.47476099997357</v>
      </c>
    </row>
    <row r="76" customFormat="false" ht="15" hidden="false" customHeight="false" outlineLevel="0" collapsed="false">
      <c r="A76" s="26" t="n">
        <v>2</v>
      </c>
      <c r="B76" s="26" t="s">
        <v>228</v>
      </c>
      <c r="C76" s="12" t="n">
        <v>1000000</v>
      </c>
      <c r="D76" s="26" t="s">
        <v>208</v>
      </c>
      <c r="E76" s="26" t="s">
        <v>76</v>
      </c>
      <c r="F76" s="12" t="n">
        <v>10000</v>
      </c>
      <c r="G76" s="26" t="n">
        <v>2</v>
      </c>
      <c r="H76" s="22" t="n">
        <v>2.75388099998963</v>
      </c>
    </row>
    <row r="77" customFormat="false" ht="15" hidden="false" customHeight="false" outlineLevel="0" collapsed="false">
      <c r="A77" s="26" t="n">
        <v>2</v>
      </c>
      <c r="B77" s="26" t="s">
        <v>228</v>
      </c>
      <c r="C77" s="12" t="n">
        <v>1000000</v>
      </c>
      <c r="D77" s="26" t="s">
        <v>208</v>
      </c>
      <c r="E77" s="26" t="s">
        <v>76</v>
      </c>
      <c r="F77" s="12" t="n">
        <v>10000</v>
      </c>
      <c r="G77" s="26" t="n">
        <v>3</v>
      </c>
      <c r="H77" s="22" t="n">
        <v>1.49527299998908</v>
      </c>
    </row>
    <row r="78" customFormat="false" ht="15" hidden="false" customHeight="false" outlineLevel="0" collapsed="false">
      <c r="A78" s="26" t="n">
        <v>2</v>
      </c>
      <c r="B78" s="26" t="s">
        <v>228</v>
      </c>
      <c r="C78" s="12" t="n">
        <v>1000000</v>
      </c>
      <c r="D78" s="26" t="s">
        <v>208</v>
      </c>
      <c r="E78" s="26" t="s">
        <v>76</v>
      </c>
      <c r="F78" s="12" t="n">
        <v>10000</v>
      </c>
      <c r="G78" s="26" t="n">
        <v>4</v>
      </c>
      <c r="H78" s="22" t="n">
        <v>1.32905800001026</v>
      </c>
    </row>
    <row r="79" customFormat="false" ht="15" hidden="false" customHeight="false" outlineLevel="0" collapsed="false">
      <c r="A79" s="26" t="n">
        <v>2</v>
      </c>
      <c r="B79" s="26" t="s">
        <v>228</v>
      </c>
      <c r="C79" s="12" t="n">
        <v>1000000</v>
      </c>
      <c r="D79" s="26" t="s">
        <v>208</v>
      </c>
      <c r="E79" s="26" t="s">
        <v>76</v>
      </c>
      <c r="F79" s="12" t="n">
        <v>10000</v>
      </c>
      <c r="G79" s="26" t="n">
        <v>5</v>
      </c>
      <c r="H79" s="22" t="n">
        <v>3.03793199998381</v>
      </c>
    </row>
    <row r="80" customFormat="false" ht="15" hidden="false" customHeight="false" outlineLevel="0" collapsed="false">
      <c r="A80" s="26" t="n">
        <v>2</v>
      </c>
      <c r="B80" s="26" t="s">
        <v>228</v>
      </c>
      <c r="C80" s="12" t="n">
        <v>1000000</v>
      </c>
      <c r="D80" s="26" t="s">
        <v>208</v>
      </c>
      <c r="E80" s="26" t="s">
        <v>77</v>
      </c>
      <c r="F80" s="12" t="n">
        <v>10000</v>
      </c>
      <c r="G80" s="26" t="n">
        <v>1</v>
      </c>
      <c r="H80" s="22" t="n">
        <v>2579.67192699999</v>
      </c>
    </row>
    <row r="81" customFormat="false" ht="15" hidden="false" customHeight="false" outlineLevel="0" collapsed="false">
      <c r="A81" s="26" t="n">
        <v>2</v>
      </c>
      <c r="B81" s="26" t="s">
        <v>228</v>
      </c>
      <c r="C81" s="12" t="n">
        <v>1000000</v>
      </c>
      <c r="D81" s="26" t="s">
        <v>208</v>
      </c>
      <c r="E81" s="26" t="s">
        <v>77</v>
      </c>
      <c r="F81" s="12" t="n">
        <v>10000</v>
      </c>
      <c r="G81" s="26" t="n">
        <v>2</v>
      </c>
      <c r="H81" s="22" t="n">
        <v>1685.58881599995</v>
      </c>
    </row>
    <row r="82" customFormat="false" ht="15" hidden="false" customHeight="false" outlineLevel="0" collapsed="false">
      <c r="A82" s="26" t="n">
        <v>2</v>
      </c>
      <c r="B82" s="26" t="s">
        <v>228</v>
      </c>
      <c r="C82" s="12" t="n">
        <v>1000000</v>
      </c>
      <c r="D82" s="26" t="s">
        <v>208</v>
      </c>
      <c r="E82" s="26" t="s">
        <v>77</v>
      </c>
      <c r="F82" s="12" t="n">
        <v>10000</v>
      </c>
      <c r="G82" s="26" t="n">
        <v>3</v>
      </c>
      <c r="H82" s="22" t="n">
        <v>2319.64326400009</v>
      </c>
    </row>
    <row r="83" customFormat="false" ht="15" hidden="false" customHeight="false" outlineLevel="0" collapsed="false">
      <c r="A83" s="26" t="n">
        <v>2</v>
      </c>
      <c r="B83" s="26" t="s">
        <v>228</v>
      </c>
      <c r="C83" s="12" t="n">
        <v>1000000</v>
      </c>
      <c r="D83" s="26" t="s">
        <v>208</v>
      </c>
      <c r="E83" s="26" t="s">
        <v>77</v>
      </c>
      <c r="F83" s="12" t="n">
        <v>10000</v>
      </c>
      <c r="G83" s="26" t="n">
        <v>4</v>
      </c>
      <c r="H83" s="22" t="n">
        <v>1909.97205400004</v>
      </c>
    </row>
    <row r="84" customFormat="false" ht="15" hidden="false" customHeight="false" outlineLevel="0" collapsed="false">
      <c r="A84" s="26" t="n">
        <v>2</v>
      </c>
      <c r="B84" s="26" t="s">
        <v>228</v>
      </c>
      <c r="C84" s="12" t="n">
        <v>1000000</v>
      </c>
      <c r="D84" s="26" t="s">
        <v>208</v>
      </c>
      <c r="E84" s="26" t="s">
        <v>77</v>
      </c>
      <c r="F84" s="12" t="n">
        <v>10000</v>
      </c>
      <c r="G84" s="26" t="n">
        <v>5</v>
      </c>
      <c r="H84" s="22" t="n">
        <v>1892.02131399998</v>
      </c>
    </row>
    <row r="85" customFormat="false" ht="15" hidden="false" customHeight="false" outlineLevel="0" collapsed="false">
      <c r="A85" s="26" t="n">
        <v>2</v>
      </c>
      <c r="B85" s="26" t="s">
        <v>228</v>
      </c>
      <c r="C85" s="12" t="n">
        <v>1000000</v>
      </c>
      <c r="D85" s="26" t="s">
        <v>208</v>
      </c>
      <c r="E85" s="26" t="s">
        <v>76</v>
      </c>
      <c r="F85" s="12" t="n">
        <v>100000</v>
      </c>
      <c r="G85" s="26" t="n">
        <v>1</v>
      </c>
      <c r="H85" s="22" t="n">
        <v>0.833907000014733</v>
      </c>
    </row>
    <row r="86" customFormat="false" ht="15" hidden="false" customHeight="false" outlineLevel="0" collapsed="false">
      <c r="A86" s="26" t="n">
        <v>2</v>
      </c>
      <c r="B86" s="26" t="s">
        <v>228</v>
      </c>
      <c r="C86" s="12" t="n">
        <v>1000000</v>
      </c>
      <c r="D86" s="26" t="s">
        <v>208</v>
      </c>
      <c r="E86" s="26" t="s">
        <v>76</v>
      </c>
      <c r="F86" s="12" t="n">
        <v>100000</v>
      </c>
      <c r="G86" s="26" t="n">
        <v>2</v>
      </c>
      <c r="H86" s="22" t="n">
        <v>0.744662999977663</v>
      </c>
    </row>
    <row r="87" customFormat="false" ht="15" hidden="false" customHeight="false" outlineLevel="0" collapsed="false">
      <c r="A87" s="26" t="n">
        <v>2</v>
      </c>
      <c r="B87" s="26" t="s">
        <v>228</v>
      </c>
      <c r="C87" s="12" t="n">
        <v>1000000</v>
      </c>
      <c r="D87" s="26" t="s">
        <v>208</v>
      </c>
      <c r="E87" s="26" t="s">
        <v>76</v>
      </c>
      <c r="F87" s="12" t="n">
        <v>100000</v>
      </c>
      <c r="G87" s="26" t="n">
        <v>3</v>
      </c>
      <c r="H87" s="22" t="n">
        <v>0.771409999970274</v>
      </c>
    </row>
    <row r="88" customFormat="false" ht="15" hidden="false" customHeight="false" outlineLevel="0" collapsed="false">
      <c r="A88" s="26" t="n">
        <v>2</v>
      </c>
      <c r="B88" s="26" t="s">
        <v>228</v>
      </c>
      <c r="C88" s="12" t="n">
        <v>1000000</v>
      </c>
      <c r="D88" s="26" t="s">
        <v>208</v>
      </c>
      <c r="E88" s="26" t="s">
        <v>76</v>
      </c>
      <c r="F88" s="12" t="n">
        <v>100000</v>
      </c>
      <c r="G88" s="26" t="n">
        <v>4</v>
      </c>
      <c r="H88" s="22" t="n">
        <v>0.632596000059493</v>
      </c>
    </row>
    <row r="89" customFormat="false" ht="15" hidden="false" customHeight="false" outlineLevel="0" collapsed="false">
      <c r="A89" s="26" t="n">
        <v>2</v>
      </c>
      <c r="B89" s="26" t="s">
        <v>228</v>
      </c>
      <c r="C89" s="12" t="n">
        <v>1000000</v>
      </c>
      <c r="D89" s="26" t="s">
        <v>208</v>
      </c>
      <c r="E89" s="26" t="s">
        <v>76</v>
      </c>
      <c r="F89" s="12" t="n">
        <v>100000</v>
      </c>
      <c r="G89" s="26" t="n">
        <v>5</v>
      </c>
      <c r="H89" s="22" t="n">
        <v>0.736476000042785</v>
      </c>
    </row>
    <row r="90" customFormat="false" ht="15" hidden="false" customHeight="false" outlineLevel="0" collapsed="false">
      <c r="A90" s="26" t="n">
        <v>2</v>
      </c>
      <c r="B90" s="26" t="s">
        <v>228</v>
      </c>
      <c r="C90" s="12" t="n">
        <v>1000000</v>
      </c>
      <c r="D90" s="26" t="s">
        <v>208</v>
      </c>
      <c r="E90" s="26" t="s">
        <v>77</v>
      </c>
      <c r="F90" s="12" t="n">
        <v>100000</v>
      </c>
      <c r="G90" s="26" t="n">
        <v>1</v>
      </c>
      <c r="H90" s="22" t="n">
        <v>1679.34898499993</v>
      </c>
    </row>
    <row r="91" customFormat="false" ht="15" hidden="false" customHeight="false" outlineLevel="0" collapsed="false">
      <c r="A91" s="26" t="n">
        <v>2</v>
      </c>
      <c r="B91" s="26" t="s">
        <v>228</v>
      </c>
      <c r="C91" s="12" t="n">
        <v>1000000</v>
      </c>
      <c r="D91" s="26" t="s">
        <v>208</v>
      </c>
      <c r="E91" s="26" t="s">
        <v>77</v>
      </c>
      <c r="F91" s="12" t="n">
        <v>100000</v>
      </c>
      <c r="G91" s="26" t="n">
        <v>2</v>
      </c>
      <c r="H91" s="22" t="n">
        <v>954.996615000027</v>
      </c>
    </row>
    <row r="92" customFormat="false" ht="15" hidden="false" customHeight="false" outlineLevel="0" collapsed="false">
      <c r="A92" s="26" t="n">
        <v>2</v>
      </c>
      <c r="B92" s="26" t="s">
        <v>228</v>
      </c>
      <c r="C92" s="12" t="n">
        <v>1000000</v>
      </c>
      <c r="D92" s="26" t="s">
        <v>208</v>
      </c>
      <c r="E92" s="26" t="s">
        <v>77</v>
      </c>
      <c r="F92" s="12" t="n">
        <v>100000</v>
      </c>
      <c r="G92" s="26" t="n">
        <v>3</v>
      </c>
      <c r="H92" s="22" t="n">
        <v>1046.19657900003</v>
      </c>
    </row>
    <row r="93" customFormat="false" ht="15" hidden="false" customHeight="false" outlineLevel="0" collapsed="false">
      <c r="A93" s="26" t="n">
        <v>2</v>
      </c>
      <c r="B93" s="26" t="s">
        <v>228</v>
      </c>
      <c r="C93" s="12" t="n">
        <v>1000000</v>
      </c>
      <c r="D93" s="26" t="s">
        <v>208</v>
      </c>
      <c r="E93" s="26" t="s">
        <v>77</v>
      </c>
      <c r="F93" s="12" t="n">
        <v>100000</v>
      </c>
      <c r="G93" s="26" t="n">
        <v>4</v>
      </c>
      <c r="H93" s="22" t="n">
        <v>942.692948000058</v>
      </c>
    </row>
    <row r="94" customFormat="false" ht="15" hidden="false" customHeight="false" outlineLevel="0" collapsed="false">
      <c r="A94" s="26" t="n">
        <v>2</v>
      </c>
      <c r="B94" s="26" t="s">
        <v>228</v>
      </c>
      <c r="C94" s="12" t="n">
        <v>1000000</v>
      </c>
      <c r="D94" s="26" t="s">
        <v>208</v>
      </c>
      <c r="E94" s="26" t="s">
        <v>77</v>
      </c>
      <c r="F94" s="12" t="n">
        <v>100000</v>
      </c>
      <c r="G94" s="26" t="n">
        <v>5</v>
      </c>
      <c r="H94" s="22" t="n">
        <v>1677.50103599997</v>
      </c>
    </row>
    <row r="95" customFormat="false" ht="15" hidden="false" customHeight="false" outlineLevel="0" collapsed="false">
      <c r="A95" s="26" t="n">
        <v>2</v>
      </c>
      <c r="B95" s="26" t="s">
        <v>228</v>
      </c>
      <c r="C95" s="12" t="n">
        <v>1000000</v>
      </c>
      <c r="D95" s="26" t="s">
        <v>208</v>
      </c>
      <c r="E95" s="26" t="s">
        <v>76</v>
      </c>
      <c r="F95" s="12" t="n">
        <v>1000000</v>
      </c>
      <c r="G95" s="26" t="n">
        <v>1</v>
      </c>
      <c r="H95" s="22" t="n">
        <v>1.16491300002508</v>
      </c>
    </row>
    <row r="96" customFormat="false" ht="15" hidden="false" customHeight="false" outlineLevel="0" collapsed="false">
      <c r="A96" s="26" t="n">
        <v>2</v>
      </c>
      <c r="B96" s="26" t="s">
        <v>228</v>
      </c>
      <c r="C96" s="12" t="n">
        <v>1000000</v>
      </c>
      <c r="D96" s="26" t="s">
        <v>208</v>
      </c>
      <c r="E96" s="26" t="s">
        <v>76</v>
      </c>
      <c r="F96" s="12" t="n">
        <v>1000000</v>
      </c>
      <c r="G96" s="26" t="n">
        <v>2</v>
      </c>
      <c r="H96" s="22" t="n">
        <v>0.747713000009753</v>
      </c>
    </row>
    <row r="97" customFormat="false" ht="15" hidden="false" customHeight="false" outlineLevel="0" collapsed="false">
      <c r="A97" s="26" t="n">
        <v>2</v>
      </c>
      <c r="B97" s="26" t="s">
        <v>228</v>
      </c>
      <c r="C97" s="12" t="n">
        <v>1000000</v>
      </c>
      <c r="D97" s="26" t="s">
        <v>208</v>
      </c>
      <c r="E97" s="26" t="s">
        <v>76</v>
      </c>
      <c r="F97" s="12" t="n">
        <v>1000000</v>
      </c>
      <c r="G97" s="26" t="n">
        <v>3</v>
      </c>
      <c r="H97" s="22" t="n">
        <v>1.1298669999178</v>
      </c>
    </row>
    <row r="98" customFormat="false" ht="15" hidden="false" customHeight="false" outlineLevel="0" collapsed="false">
      <c r="A98" s="26" t="n">
        <v>2</v>
      </c>
      <c r="B98" s="26" t="s">
        <v>228</v>
      </c>
      <c r="C98" s="12" t="n">
        <v>1000000</v>
      </c>
      <c r="D98" s="26" t="s">
        <v>208</v>
      </c>
      <c r="E98" s="26" t="s">
        <v>76</v>
      </c>
      <c r="F98" s="12" t="n">
        <v>1000000</v>
      </c>
      <c r="G98" s="26" t="n">
        <v>4</v>
      </c>
      <c r="H98" s="22" t="n">
        <v>1.11273699997128</v>
      </c>
    </row>
    <row r="99" customFormat="false" ht="15" hidden="false" customHeight="false" outlineLevel="0" collapsed="false">
      <c r="A99" s="26" t="n">
        <v>2</v>
      </c>
      <c r="B99" s="26" t="s">
        <v>228</v>
      </c>
      <c r="C99" s="12" t="n">
        <v>1000000</v>
      </c>
      <c r="D99" s="26" t="s">
        <v>208</v>
      </c>
      <c r="E99" s="26" t="s">
        <v>76</v>
      </c>
      <c r="F99" s="12" t="n">
        <v>1000000</v>
      </c>
      <c r="G99" s="26" t="n">
        <v>5</v>
      </c>
      <c r="H99" s="22" t="n">
        <v>1.24090700001034</v>
      </c>
    </row>
    <row r="100" customFormat="false" ht="15" hidden="false" customHeight="false" outlineLevel="0" collapsed="false">
      <c r="A100" s="26" t="n">
        <v>2</v>
      </c>
      <c r="B100" s="26" t="s">
        <v>228</v>
      </c>
      <c r="C100" s="12" t="n">
        <v>1000000</v>
      </c>
      <c r="D100" s="26" t="s">
        <v>208</v>
      </c>
      <c r="E100" s="26" t="s">
        <v>77</v>
      </c>
      <c r="F100" s="12" t="n">
        <v>1000000</v>
      </c>
      <c r="G100" s="26" t="n">
        <v>1</v>
      </c>
      <c r="H100" s="22" t="n">
        <v>1080.15677900005</v>
      </c>
    </row>
    <row r="101" customFormat="false" ht="15" hidden="false" customHeight="false" outlineLevel="0" collapsed="false">
      <c r="A101" s="26" t="n">
        <v>2</v>
      </c>
      <c r="B101" s="26" t="s">
        <v>228</v>
      </c>
      <c r="C101" s="12" t="n">
        <v>1000000</v>
      </c>
      <c r="D101" s="26" t="s">
        <v>208</v>
      </c>
      <c r="E101" s="26" t="s">
        <v>77</v>
      </c>
      <c r="F101" s="12" t="n">
        <v>1000000</v>
      </c>
      <c r="G101" s="26" t="n">
        <v>2</v>
      </c>
      <c r="H101" s="22" t="n">
        <v>1083.389958</v>
      </c>
    </row>
    <row r="102" customFormat="false" ht="15" hidden="false" customHeight="false" outlineLevel="0" collapsed="false">
      <c r="A102" s="26" t="n">
        <v>2</v>
      </c>
      <c r="B102" s="26" t="s">
        <v>228</v>
      </c>
      <c r="C102" s="12" t="n">
        <v>1000000</v>
      </c>
      <c r="D102" s="26" t="s">
        <v>208</v>
      </c>
      <c r="E102" s="26" t="s">
        <v>77</v>
      </c>
      <c r="F102" s="12" t="n">
        <v>1000000</v>
      </c>
      <c r="G102" s="26" t="n">
        <v>3</v>
      </c>
      <c r="H102" s="22" t="n">
        <v>1014.11077</v>
      </c>
    </row>
    <row r="103" customFormat="false" ht="15" hidden="false" customHeight="false" outlineLevel="0" collapsed="false">
      <c r="A103" s="26" t="n">
        <v>2</v>
      </c>
      <c r="B103" s="26" t="s">
        <v>228</v>
      </c>
      <c r="C103" s="12" t="n">
        <v>1000000</v>
      </c>
      <c r="D103" s="26" t="s">
        <v>208</v>
      </c>
      <c r="E103" s="26" t="s">
        <v>77</v>
      </c>
      <c r="F103" s="12" t="n">
        <v>1000000</v>
      </c>
      <c r="G103" s="26" t="n">
        <v>4</v>
      </c>
      <c r="H103" s="22" t="n">
        <v>1670.55052399996</v>
      </c>
    </row>
    <row r="104" customFormat="false" ht="15" hidden="false" customHeight="false" outlineLevel="0" collapsed="false">
      <c r="A104" s="26" t="n">
        <v>2</v>
      </c>
      <c r="B104" s="26" t="s">
        <v>228</v>
      </c>
      <c r="C104" s="12" t="n">
        <v>1000000</v>
      </c>
      <c r="D104" s="26" t="s">
        <v>208</v>
      </c>
      <c r="E104" s="26" t="s">
        <v>77</v>
      </c>
      <c r="F104" s="12" t="n">
        <v>1000000</v>
      </c>
      <c r="G104" s="26" t="n">
        <v>5</v>
      </c>
      <c r="H104" s="22" t="n">
        <v>908.717429000035</v>
      </c>
    </row>
    <row r="105" customFormat="false" ht="15" hidden="false" customHeight="false" outlineLevel="0" collapsed="false">
      <c r="A105" s="26" t="n">
        <v>3</v>
      </c>
      <c r="B105" s="26" t="s">
        <v>228</v>
      </c>
      <c r="C105" s="12" t="n">
        <v>1000000</v>
      </c>
      <c r="D105" s="26" t="s">
        <v>208</v>
      </c>
      <c r="E105" s="26" t="s">
        <v>76</v>
      </c>
      <c r="F105" s="12" t="n">
        <v>10</v>
      </c>
      <c r="G105" s="26" t="n">
        <v>1</v>
      </c>
      <c r="H105" s="22" t="n">
        <v>1.1480580000125</v>
      </c>
    </row>
    <row r="106" customFormat="false" ht="15" hidden="false" customHeight="false" outlineLevel="0" collapsed="false">
      <c r="A106" s="26" t="n">
        <v>3</v>
      </c>
      <c r="B106" s="26" t="s">
        <v>228</v>
      </c>
      <c r="C106" s="12" t="n">
        <v>1000000</v>
      </c>
      <c r="D106" s="26" t="s">
        <v>208</v>
      </c>
      <c r="E106" s="26" t="s">
        <v>76</v>
      </c>
      <c r="F106" s="12" t="n">
        <v>10</v>
      </c>
      <c r="G106" s="26" t="n">
        <v>2</v>
      </c>
      <c r="H106" s="22" t="n">
        <v>0.79150200008371</v>
      </c>
    </row>
    <row r="107" customFormat="false" ht="15" hidden="false" customHeight="false" outlineLevel="0" collapsed="false">
      <c r="A107" s="26" t="n">
        <v>3</v>
      </c>
      <c r="B107" s="26" t="s">
        <v>228</v>
      </c>
      <c r="C107" s="12" t="n">
        <v>1000000</v>
      </c>
      <c r="D107" s="26" t="s">
        <v>208</v>
      </c>
      <c r="E107" s="26" t="s">
        <v>76</v>
      </c>
      <c r="F107" s="12" t="n">
        <v>10</v>
      </c>
      <c r="G107" s="26" t="n">
        <v>3</v>
      </c>
      <c r="H107" s="22" t="n">
        <v>0.694546999966406</v>
      </c>
    </row>
    <row r="108" customFormat="false" ht="15" hidden="false" customHeight="false" outlineLevel="0" collapsed="false">
      <c r="A108" s="26" t="n">
        <v>3</v>
      </c>
      <c r="B108" s="26" t="s">
        <v>228</v>
      </c>
      <c r="C108" s="12" t="n">
        <v>1000000</v>
      </c>
      <c r="D108" s="26" t="s">
        <v>208</v>
      </c>
      <c r="E108" s="26" t="s">
        <v>76</v>
      </c>
      <c r="F108" s="12" t="n">
        <v>10</v>
      </c>
      <c r="G108" s="26" t="n">
        <v>4</v>
      </c>
      <c r="H108" s="22" t="n">
        <v>0.721221999924637</v>
      </c>
    </row>
    <row r="109" customFormat="false" ht="15" hidden="false" customHeight="false" outlineLevel="0" collapsed="false">
      <c r="A109" s="26" t="n">
        <v>3</v>
      </c>
      <c r="B109" s="26" t="s">
        <v>228</v>
      </c>
      <c r="C109" s="12" t="n">
        <v>1000000</v>
      </c>
      <c r="D109" s="26" t="s">
        <v>208</v>
      </c>
      <c r="E109" s="26" t="s">
        <v>76</v>
      </c>
      <c r="F109" s="12" t="n">
        <v>10</v>
      </c>
      <c r="G109" s="26" t="n">
        <v>5</v>
      </c>
      <c r="H109" s="22" t="n">
        <v>0.661790999970435</v>
      </c>
    </row>
    <row r="110" customFormat="false" ht="15" hidden="false" customHeight="false" outlineLevel="0" collapsed="false">
      <c r="A110" s="26" t="n">
        <v>3</v>
      </c>
      <c r="B110" s="26" t="s">
        <v>228</v>
      </c>
      <c r="C110" s="12" t="n">
        <v>1000000</v>
      </c>
      <c r="D110" s="26" t="s">
        <v>208</v>
      </c>
      <c r="E110" s="26" t="s">
        <v>77</v>
      </c>
      <c r="F110" s="12" t="n">
        <v>10</v>
      </c>
      <c r="G110" s="26" t="n">
        <v>1</v>
      </c>
      <c r="H110" s="22" t="n">
        <v>1180.78142599995</v>
      </c>
    </row>
    <row r="111" customFormat="false" ht="15" hidden="false" customHeight="false" outlineLevel="0" collapsed="false">
      <c r="A111" s="26" t="n">
        <v>3</v>
      </c>
      <c r="B111" s="26" t="s">
        <v>228</v>
      </c>
      <c r="C111" s="12" t="n">
        <v>1000000</v>
      </c>
      <c r="D111" s="26" t="s">
        <v>208</v>
      </c>
      <c r="E111" s="26" t="s">
        <v>77</v>
      </c>
      <c r="F111" s="12" t="n">
        <v>10</v>
      </c>
      <c r="G111" s="26" t="n">
        <v>2</v>
      </c>
      <c r="H111" s="22" t="n">
        <v>994.117164000045</v>
      </c>
    </row>
    <row r="112" customFormat="false" ht="15" hidden="false" customHeight="false" outlineLevel="0" collapsed="false">
      <c r="A112" s="26" t="n">
        <v>3</v>
      </c>
      <c r="B112" s="26" t="s">
        <v>228</v>
      </c>
      <c r="C112" s="12" t="n">
        <v>1000000</v>
      </c>
      <c r="D112" s="26" t="s">
        <v>208</v>
      </c>
      <c r="E112" s="26" t="s">
        <v>77</v>
      </c>
      <c r="F112" s="12" t="n">
        <v>10</v>
      </c>
      <c r="G112" s="26" t="n">
        <v>3</v>
      </c>
      <c r="H112" s="22" t="n">
        <v>2829.47666400003</v>
      </c>
    </row>
    <row r="113" customFormat="false" ht="15" hidden="false" customHeight="false" outlineLevel="0" collapsed="false">
      <c r="A113" s="26" t="n">
        <v>3</v>
      </c>
      <c r="B113" s="26" t="s">
        <v>228</v>
      </c>
      <c r="C113" s="12" t="n">
        <v>1000000</v>
      </c>
      <c r="D113" s="26" t="s">
        <v>208</v>
      </c>
      <c r="E113" s="26" t="s">
        <v>77</v>
      </c>
      <c r="F113" s="12" t="n">
        <v>10</v>
      </c>
      <c r="G113" s="26" t="n">
        <v>4</v>
      </c>
      <c r="H113" s="22" t="n">
        <v>1264.21135599992</v>
      </c>
    </row>
    <row r="114" customFormat="false" ht="15" hidden="false" customHeight="false" outlineLevel="0" collapsed="false">
      <c r="A114" s="26" t="n">
        <v>3</v>
      </c>
      <c r="B114" s="26" t="s">
        <v>228</v>
      </c>
      <c r="C114" s="12" t="n">
        <v>1000000</v>
      </c>
      <c r="D114" s="26" t="s">
        <v>208</v>
      </c>
      <c r="E114" s="26" t="s">
        <v>77</v>
      </c>
      <c r="F114" s="12" t="n">
        <v>10</v>
      </c>
      <c r="G114" s="26" t="n">
        <v>5</v>
      </c>
      <c r="H114" s="22" t="n">
        <v>841.204232999985</v>
      </c>
    </row>
    <row r="115" customFormat="false" ht="15" hidden="false" customHeight="false" outlineLevel="0" collapsed="false">
      <c r="A115" s="26" t="n">
        <v>3</v>
      </c>
      <c r="B115" s="26" t="s">
        <v>228</v>
      </c>
      <c r="C115" s="12" t="n">
        <v>1000000</v>
      </c>
      <c r="D115" s="26" t="s">
        <v>208</v>
      </c>
      <c r="E115" s="26" t="s">
        <v>76</v>
      </c>
      <c r="F115" s="12" t="n">
        <v>1000</v>
      </c>
      <c r="G115" s="26" t="n">
        <v>1</v>
      </c>
      <c r="H115" s="22" t="n">
        <v>0.941783000030227</v>
      </c>
    </row>
    <row r="116" customFormat="false" ht="15" hidden="false" customHeight="false" outlineLevel="0" collapsed="false">
      <c r="A116" s="26" t="n">
        <v>3</v>
      </c>
      <c r="B116" s="26" t="s">
        <v>228</v>
      </c>
      <c r="C116" s="12" t="n">
        <v>1000000</v>
      </c>
      <c r="D116" s="26" t="s">
        <v>208</v>
      </c>
      <c r="E116" s="26" t="s">
        <v>76</v>
      </c>
      <c r="F116" s="12" t="n">
        <v>1000</v>
      </c>
      <c r="G116" s="26" t="n">
        <v>2</v>
      </c>
      <c r="H116" s="22" t="n">
        <v>0.716366999995444</v>
      </c>
    </row>
    <row r="117" customFormat="false" ht="15" hidden="false" customHeight="false" outlineLevel="0" collapsed="false">
      <c r="A117" s="26" t="n">
        <v>3</v>
      </c>
      <c r="B117" s="26" t="s">
        <v>228</v>
      </c>
      <c r="C117" s="12" t="n">
        <v>1000000</v>
      </c>
      <c r="D117" s="26" t="s">
        <v>208</v>
      </c>
      <c r="E117" s="26" t="s">
        <v>76</v>
      </c>
      <c r="F117" s="12" t="n">
        <v>1000</v>
      </c>
      <c r="G117" s="26" t="n">
        <v>3</v>
      </c>
      <c r="H117" s="22" t="n">
        <v>0.658961999988605</v>
      </c>
    </row>
    <row r="118" customFormat="false" ht="15" hidden="false" customHeight="false" outlineLevel="0" collapsed="false">
      <c r="A118" s="26" t="n">
        <v>3</v>
      </c>
      <c r="B118" s="26" t="s">
        <v>228</v>
      </c>
      <c r="C118" s="12" t="n">
        <v>1000000</v>
      </c>
      <c r="D118" s="26" t="s">
        <v>208</v>
      </c>
      <c r="E118" s="26" t="s">
        <v>76</v>
      </c>
      <c r="F118" s="12" t="n">
        <v>1000</v>
      </c>
      <c r="G118" s="26" t="n">
        <v>4</v>
      </c>
      <c r="H118" s="22" t="n">
        <v>0.684085999978379</v>
      </c>
    </row>
    <row r="119" customFormat="false" ht="15" hidden="false" customHeight="false" outlineLevel="0" collapsed="false">
      <c r="A119" s="26" t="n">
        <v>3</v>
      </c>
      <c r="B119" s="26" t="s">
        <v>228</v>
      </c>
      <c r="C119" s="12" t="n">
        <v>1000000</v>
      </c>
      <c r="D119" s="26" t="s">
        <v>208</v>
      </c>
      <c r="E119" s="26" t="s">
        <v>76</v>
      </c>
      <c r="F119" s="12" t="n">
        <v>1000</v>
      </c>
      <c r="G119" s="26" t="n">
        <v>5</v>
      </c>
      <c r="H119" s="22" t="n">
        <v>0.72023600000648</v>
      </c>
    </row>
    <row r="120" customFormat="false" ht="15" hidden="false" customHeight="false" outlineLevel="0" collapsed="false">
      <c r="A120" s="26" t="n">
        <v>3</v>
      </c>
      <c r="B120" s="26" t="s">
        <v>228</v>
      </c>
      <c r="C120" s="12" t="n">
        <v>1000000</v>
      </c>
      <c r="D120" s="26" t="s">
        <v>208</v>
      </c>
      <c r="E120" s="26" t="s">
        <v>77</v>
      </c>
      <c r="F120" s="12" t="n">
        <v>1000</v>
      </c>
      <c r="G120" s="26" t="n">
        <v>1</v>
      </c>
      <c r="H120" s="22" t="n">
        <v>763.785638999934</v>
      </c>
    </row>
    <row r="121" customFormat="false" ht="15" hidden="false" customHeight="false" outlineLevel="0" collapsed="false">
      <c r="A121" s="26" t="n">
        <v>3</v>
      </c>
      <c r="B121" s="26" t="s">
        <v>228</v>
      </c>
      <c r="C121" s="12" t="n">
        <v>1000000</v>
      </c>
      <c r="D121" s="26" t="s">
        <v>208</v>
      </c>
      <c r="E121" s="26" t="s">
        <v>77</v>
      </c>
      <c r="F121" s="12" t="n">
        <v>1000</v>
      </c>
      <c r="G121" s="26" t="n">
        <v>2</v>
      </c>
      <c r="H121" s="22" t="n">
        <v>753.924180000013</v>
      </c>
    </row>
    <row r="122" customFormat="false" ht="15" hidden="false" customHeight="false" outlineLevel="0" collapsed="false">
      <c r="A122" s="26" t="n">
        <v>3</v>
      </c>
      <c r="B122" s="26" t="s">
        <v>228</v>
      </c>
      <c r="C122" s="12" t="n">
        <v>1000000</v>
      </c>
      <c r="D122" s="26" t="s">
        <v>208</v>
      </c>
      <c r="E122" s="26" t="s">
        <v>77</v>
      </c>
      <c r="F122" s="12" t="n">
        <v>1000</v>
      </c>
      <c r="G122" s="26" t="n">
        <v>3</v>
      </c>
      <c r="H122" s="22" t="n">
        <v>1719.34518099999</v>
      </c>
    </row>
    <row r="123" customFormat="false" ht="15" hidden="false" customHeight="false" outlineLevel="0" collapsed="false">
      <c r="A123" s="26" t="n">
        <v>3</v>
      </c>
      <c r="B123" s="26" t="s">
        <v>228</v>
      </c>
      <c r="C123" s="12" t="n">
        <v>1000000</v>
      </c>
      <c r="D123" s="26" t="s">
        <v>208</v>
      </c>
      <c r="E123" s="26" t="s">
        <v>77</v>
      </c>
      <c r="F123" s="12" t="n">
        <v>1000</v>
      </c>
      <c r="G123" s="26" t="n">
        <v>4</v>
      </c>
      <c r="H123" s="22" t="n">
        <v>1564.93529900001</v>
      </c>
    </row>
    <row r="124" customFormat="false" ht="15" hidden="false" customHeight="false" outlineLevel="0" collapsed="false">
      <c r="A124" s="26" t="n">
        <v>3</v>
      </c>
      <c r="B124" s="26" t="s">
        <v>228</v>
      </c>
      <c r="C124" s="12" t="n">
        <v>1000000</v>
      </c>
      <c r="D124" s="26" t="s">
        <v>208</v>
      </c>
      <c r="E124" s="26" t="s">
        <v>77</v>
      </c>
      <c r="F124" s="12" t="n">
        <v>1000</v>
      </c>
      <c r="G124" s="26" t="n">
        <v>5</v>
      </c>
      <c r="H124" s="22" t="n">
        <v>815.654943999903</v>
      </c>
    </row>
    <row r="125" customFormat="false" ht="15" hidden="false" customHeight="false" outlineLevel="0" collapsed="false">
      <c r="A125" s="26" t="n">
        <v>3</v>
      </c>
      <c r="B125" s="26" t="s">
        <v>228</v>
      </c>
      <c r="C125" s="12" t="n">
        <v>1000000</v>
      </c>
      <c r="D125" s="26" t="s">
        <v>208</v>
      </c>
      <c r="E125" s="26" t="s">
        <v>76</v>
      </c>
      <c r="F125" s="12" t="n">
        <v>10000</v>
      </c>
      <c r="G125" s="26" t="n">
        <v>1</v>
      </c>
      <c r="H125" s="22" t="n">
        <v>0.832767000019885</v>
      </c>
    </row>
    <row r="126" customFormat="false" ht="15" hidden="false" customHeight="false" outlineLevel="0" collapsed="false">
      <c r="A126" s="26" t="n">
        <v>3</v>
      </c>
      <c r="B126" s="26" t="s">
        <v>228</v>
      </c>
      <c r="C126" s="12" t="n">
        <v>1000000</v>
      </c>
      <c r="D126" s="26" t="s">
        <v>208</v>
      </c>
      <c r="E126" s="26" t="s">
        <v>76</v>
      </c>
      <c r="F126" s="12" t="n">
        <v>10000</v>
      </c>
      <c r="G126" s="26" t="n">
        <v>2</v>
      </c>
      <c r="H126" s="22" t="n">
        <v>0.745442000038565</v>
      </c>
    </row>
    <row r="127" customFormat="false" ht="15" hidden="false" customHeight="false" outlineLevel="0" collapsed="false">
      <c r="A127" s="26" t="n">
        <v>3</v>
      </c>
      <c r="B127" s="26" t="s">
        <v>228</v>
      </c>
      <c r="C127" s="12" t="n">
        <v>1000000</v>
      </c>
      <c r="D127" s="26" t="s">
        <v>208</v>
      </c>
      <c r="E127" s="26" t="s">
        <v>76</v>
      </c>
      <c r="F127" s="12" t="n">
        <v>10000</v>
      </c>
      <c r="G127" s="26" t="n">
        <v>3</v>
      </c>
      <c r="H127" s="22" t="n">
        <v>1.73567699994237</v>
      </c>
    </row>
    <row r="128" customFormat="false" ht="15" hidden="false" customHeight="false" outlineLevel="0" collapsed="false">
      <c r="A128" s="26" t="n">
        <v>3</v>
      </c>
      <c r="B128" s="26" t="s">
        <v>228</v>
      </c>
      <c r="C128" s="12" t="n">
        <v>1000000</v>
      </c>
      <c r="D128" s="26" t="s">
        <v>208</v>
      </c>
      <c r="E128" s="26" t="s">
        <v>76</v>
      </c>
      <c r="F128" s="12" t="n">
        <v>10000</v>
      </c>
      <c r="G128" s="26" t="n">
        <v>4</v>
      </c>
      <c r="H128" s="22" t="n">
        <v>1.05995000001258</v>
      </c>
    </row>
    <row r="129" customFormat="false" ht="15" hidden="false" customHeight="false" outlineLevel="0" collapsed="false">
      <c r="A129" s="26" t="n">
        <v>3</v>
      </c>
      <c r="B129" s="26" t="s">
        <v>228</v>
      </c>
      <c r="C129" s="12" t="n">
        <v>1000000</v>
      </c>
      <c r="D129" s="26" t="s">
        <v>208</v>
      </c>
      <c r="E129" s="26" t="s">
        <v>76</v>
      </c>
      <c r="F129" s="12" t="n">
        <v>10000</v>
      </c>
      <c r="G129" s="26" t="n">
        <v>5</v>
      </c>
      <c r="H129" s="22" t="n">
        <v>1.06352400007381</v>
      </c>
    </row>
    <row r="130" customFormat="false" ht="15" hidden="false" customHeight="false" outlineLevel="0" collapsed="false">
      <c r="A130" s="26" t="n">
        <v>3</v>
      </c>
      <c r="B130" s="26" t="s">
        <v>228</v>
      </c>
      <c r="C130" s="12" t="n">
        <v>1000000</v>
      </c>
      <c r="D130" s="26" t="s">
        <v>208</v>
      </c>
      <c r="E130" s="26" t="s">
        <v>77</v>
      </c>
      <c r="F130" s="12" t="n">
        <v>10000</v>
      </c>
      <c r="G130" s="26" t="n">
        <v>1</v>
      </c>
      <c r="H130" s="22" t="n">
        <v>1707.473403</v>
      </c>
    </row>
    <row r="131" customFormat="false" ht="15" hidden="false" customHeight="false" outlineLevel="0" collapsed="false">
      <c r="A131" s="26" t="n">
        <v>3</v>
      </c>
      <c r="B131" s="26" t="s">
        <v>228</v>
      </c>
      <c r="C131" s="12" t="n">
        <v>1000000</v>
      </c>
      <c r="D131" s="26" t="s">
        <v>208</v>
      </c>
      <c r="E131" s="26" t="s">
        <v>77</v>
      </c>
      <c r="F131" s="12" t="n">
        <v>10000</v>
      </c>
      <c r="G131" s="26" t="n">
        <v>2</v>
      </c>
      <c r="H131" s="22" t="n">
        <v>1008.481093</v>
      </c>
    </row>
    <row r="132" customFormat="false" ht="15" hidden="false" customHeight="false" outlineLevel="0" collapsed="false">
      <c r="A132" s="26" t="n">
        <v>3</v>
      </c>
      <c r="B132" s="26" t="s">
        <v>228</v>
      </c>
      <c r="C132" s="12" t="n">
        <v>1000000</v>
      </c>
      <c r="D132" s="26" t="s">
        <v>208</v>
      </c>
      <c r="E132" s="26" t="s">
        <v>77</v>
      </c>
      <c r="F132" s="12" t="n">
        <v>10000</v>
      </c>
      <c r="G132" s="26" t="n">
        <v>3</v>
      </c>
      <c r="H132" s="22" t="n">
        <v>956.668513999944</v>
      </c>
    </row>
    <row r="133" customFormat="false" ht="15" hidden="false" customHeight="false" outlineLevel="0" collapsed="false">
      <c r="A133" s="26" t="n">
        <v>3</v>
      </c>
      <c r="B133" s="26" t="s">
        <v>228</v>
      </c>
      <c r="C133" s="12" t="n">
        <v>1000000</v>
      </c>
      <c r="D133" s="26" t="s">
        <v>208</v>
      </c>
      <c r="E133" s="26" t="s">
        <v>77</v>
      </c>
      <c r="F133" s="12" t="n">
        <v>10000</v>
      </c>
      <c r="G133" s="26" t="n">
        <v>4</v>
      </c>
      <c r="H133" s="22" t="n">
        <v>1177.87916899999</v>
      </c>
    </row>
    <row r="134" customFormat="false" ht="15" hidden="false" customHeight="false" outlineLevel="0" collapsed="false">
      <c r="A134" s="26" t="n">
        <v>3</v>
      </c>
      <c r="B134" s="26" t="s">
        <v>228</v>
      </c>
      <c r="C134" s="12" t="n">
        <v>1000000</v>
      </c>
      <c r="D134" s="26" t="s">
        <v>208</v>
      </c>
      <c r="E134" s="26" t="s">
        <v>77</v>
      </c>
      <c r="F134" s="12" t="n">
        <v>10000</v>
      </c>
      <c r="G134" s="26" t="n">
        <v>5</v>
      </c>
      <c r="H134" s="22" t="n">
        <v>1500.33687500002</v>
      </c>
    </row>
    <row r="135" customFormat="false" ht="15" hidden="false" customHeight="false" outlineLevel="0" collapsed="false">
      <c r="A135" s="26" t="n">
        <v>3</v>
      </c>
      <c r="B135" s="26" t="s">
        <v>228</v>
      </c>
      <c r="C135" s="12" t="n">
        <v>1000000</v>
      </c>
      <c r="D135" s="26" t="s">
        <v>208</v>
      </c>
      <c r="E135" s="26" t="s">
        <v>76</v>
      </c>
      <c r="F135" s="12" t="n">
        <v>100000</v>
      </c>
      <c r="G135" s="26" t="n">
        <v>1</v>
      </c>
      <c r="H135" s="22" t="n">
        <v>0.767901000017446</v>
      </c>
    </row>
    <row r="136" customFormat="false" ht="15" hidden="false" customHeight="false" outlineLevel="0" collapsed="false">
      <c r="A136" s="26" t="n">
        <v>3</v>
      </c>
      <c r="B136" s="26" t="s">
        <v>228</v>
      </c>
      <c r="C136" s="12" t="n">
        <v>1000000</v>
      </c>
      <c r="D136" s="26" t="s">
        <v>208</v>
      </c>
      <c r="E136" s="26" t="s">
        <v>76</v>
      </c>
      <c r="F136" s="12" t="n">
        <v>100000</v>
      </c>
      <c r="G136" s="26" t="n">
        <v>2</v>
      </c>
      <c r="H136" s="22" t="n">
        <v>0.665499999968233</v>
      </c>
    </row>
    <row r="137" customFormat="false" ht="15" hidden="false" customHeight="false" outlineLevel="0" collapsed="false">
      <c r="A137" s="26" t="n">
        <v>3</v>
      </c>
      <c r="B137" s="26" t="s">
        <v>228</v>
      </c>
      <c r="C137" s="12" t="n">
        <v>1000000</v>
      </c>
      <c r="D137" s="26" t="s">
        <v>208</v>
      </c>
      <c r="E137" s="26" t="s">
        <v>76</v>
      </c>
      <c r="F137" s="12" t="n">
        <v>100000</v>
      </c>
      <c r="G137" s="26" t="n">
        <v>3</v>
      </c>
      <c r="H137" s="22" t="n">
        <v>0.704117999930531</v>
      </c>
    </row>
    <row r="138" customFormat="false" ht="15" hidden="false" customHeight="false" outlineLevel="0" collapsed="false">
      <c r="A138" s="26" t="n">
        <v>3</v>
      </c>
      <c r="B138" s="26" t="s">
        <v>228</v>
      </c>
      <c r="C138" s="12" t="n">
        <v>1000000</v>
      </c>
      <c r="D138" s="26" t="s">
        <v>208</v>
      </c>
      <c r="E138" s="26" t="s">
        <v>76</v>
      </c>
      <c r="F138" s="12" t="n">
        <v>100000</v>
      </c>
      <c r="G138" s="26" t="n">
        <v>4</v>
      </c>
      <c r="H138" s="22" t="n">
        <v>0.678107999988242</v>
      </c>
    </row>
    <row r="139" customFormat="false" ht="15" hidden="false" customHeight="false" outlineLevel="0" collapsed="false">
      <c r="A139" s="26" t="n">
        <v>3</v>
      </c>
      <c r="B139" s="26" t="s">
        <v>228</v>
      </c>
      <c r="C139" s="12" t="n">
        <v>1000000</v>
      </c>
      <c r="D139" s="26" t="s">
        <v>208</v>
      </c>
      <c r="E139" s="26" t="s">
        <v>76</v>
      </c>
      <c r="F139" s="12" t="n">
        <v>100000</v>
      </c>
      <c r="G139" s="26" t="n">
        <v>5</v>
      </c>
      <c r="H139" s="22" t="n">
        <v>0.95977400007996</v>
      </c>
    </row>
    <row r="140" customFormat="false" ht="15" hidden="false" customHeight="false" outlineLevel="0" collapsed="false">
      <c r="A140" s="26" t="n">
        <v>3</v>
      </c>
      <c r="B140" s="26" t="s">
        <v>228</v>
      </c>
      <c r="C140" s="12" t="n">
        <v>1000000</v>
      </c>
      <c r="D140" s="26" t="s">
        <v>208</v>
      </c>
      <c r="E140" s="26" t="s">
        <v>77</v>
      </c>
      <c r="F140" s="12" t="n">
        <v>100000</v>
      </c>
      <c r="G140" s="26" t="n">
        <v>1</v>
      </c>
      <c r="H140" s="22" t="n">
        <v>902.340538999965</v>
      </c>
    </row>
    <row r="141" customFormat="false" ht="15" hidden="false" customHeight="false" outlineLevel="0" collapsed="false">
      <c r="A141" s="26" t="n">
        <v>3</v>
      </c>
      <c r="B141" s="26" t="s">
        <v>228</v>
      </c>
      <c r="C141" s="12" t="n">
        <v>1000000</v>
      </c>
      <c r="D141" s="26" t="s">
        <v>208</v>
      </c>
      <c r="E141" s="26" t="s">
        <v>77</v>
      </c>
      <c r="F141" s="12" t="n">
        <v>100000</v>
      </c>
      <c r="G141" s="26" t="n">
        <v>2</v>
      </c>
      <c r="H141" s="22" t="n">
        <v>908.851511999956</v>
      </c>
    </row>
    <row r="142" customFormat="false" ht="15" hidden="false" customHeight="false" outlineLevel="0" collapsed="false">
      <c r="A142" s="26" t="n">
        <v>3</v>
      </c>
      <c r="B142" s="26" t="s">
        <v>228</v>
      </c>
      <c r="C142" s="12" t="n">
        <v>1000000</v>
      </c>
      <c r="D142" s="26" t="s">
        <v>208</v>
      </c>
      <c r="E142" s="26" t="s">
        <v>77</v>
      </c>
      <c r="F142" s="12" t="n">
        <v>100000</v>
      </c>
      <c r="G142" s="26" t="n">
        <v>3</v>
      </c>
      <c r="H142" s="22" t="n">
        <v>1289.94352899997</v>
      </c>
    </row>
    <row r="143" customFormat="false" ht="15" hidden="false" customHeight="false" outlineLevel="0" collapsed="false">
      <c r="A143" s="26" t="n">
        <v>3</v>
      </c>
      <c r="B143" s="26" t="s">
        <v>228</v>
      </c>
      <c r="C143" s="12" t="n">
        <v>1000000</v>
      </c>
      <c r="D143" s="26" t="s">
        <v>208</v>
      </c>
      <c r="E143" s="26" t="s">
        <v>77</v>
      </c>
      <c r="F143" s="12" t="n">
        <v>100000</v>
      </c>
      <c r="G143" s="26" t="n">
        <v>4</v>
      </c>
      <c r="H143" s="22" t="n">
        <v>1517.74048200002</v>
      </c>
    </row>
    <row r="144" customFormat="false" ht="15" hidden="false" customHeight="false" outlineLevel="0" collapsed="false">
      <c r="A144" s="26" t="n">
        <v>3</v>
      </c>
      <c r="B144" s="26" t="s">
        <v>228</v>
      </c>
      <c r="C144" s="12" t="n">
        <v>1000000</v>
      </c>
      <c r="D144" s="26" t="s">
        <v>208</v>
      </c>
      <c r="E144" s="26" t="s">
        <v>77</v>
      </c>
      <c r="F144" s="12" t="n">
        <v>100000</v>
      </c>
      <c r="G144" s="26" t="n">
        <v>5</v>
      </c>
      <c r="H144" s="22" t="n">
        <v>840.99026399997</v>
      </c>
    </row>
    <row r="145" customFormat="false" ht="15" hidden="false" customHeight="false" outlineLevel="0" collapsed="false">
      <c r="A145" s="26" t="n">
        <v>3</v>
      </c>
      <c r="B145" s="26" t="s">
        <v>228</v>
      </c>
      <c r="C145" s="12" t="n">
        <v>1000000</v>
      </c>
      <c r="D145" s="26" t="s">
        <v>208</v>
      </c>
      <c r="E145" s="26" t="s">
        <v>76</v>
      </c>
      <c r="F145" s="12" t="n">
        <v>1000000</v>
      </c>
      <c r="G145" s="26" t="n">
        <v>1</v>
      </c>
      <c r="H145" s="22" t="n">
        <v>0.691818000063904</v>
      </c>
    </row>
    <row r="146" customFormat="false" ht="15" hidden="false" customHeight="false" outlineLevel="0" collapsed="false">
      <c r="A146" s="26" t="n">
        <v>3</v>
      </c>
      <c r="B146" s="26" t="s">
        <v>228</v>
      </c>
      <c r="C146" s="12" t="n">
        <v>1000000</v>
      </c>
      <c r="D146" s="26" t="s">
        <v>208</v>
      </c>
      <c r="E146" s="26" t="s">
        <v>76</v>
      </c>
      <c r="F146" s="12" t="n">
        <v>1000000</v>
      </c>
      <c r="G146" s="26" t="n">
        <v>2</v>
      </c>
      <c r="H146" s="22" t="n">
        <v>0.700353000070209</v>
      </c>
    </row>
    <row r="147" customFormat="false" ht="15" hidden="false" customHeight="false" outlineLevel="0" collapsed="false">
      <c r="A147" s="26" t="n">
        <v>3</v>
      </c>
      <c r="B147" s="26" t="s">
        <v>228</v>
      </c>
      <c r="C147" s="12" t="n">
        <v>1000000</v>
      </c>
      <c r="D147" s="26" t="s">
        <v>208</v>
      </c>
      <c r="E147" s="26" t="s">
        <v>76</v>
      </c>
      <c r="F147" s="12" t="n">
        <v>1000000</v>
      </c>
      <c r="G147" s="26" t="n">
        <v>3</v>
      </c>
      <c r="H147" s="22" t="n">
        <v>0.661468999965109</v>
      </c>
    </row>
    <row r="148" customFormat="false" ht="15" hidden="false" customHeight="false" outlineLevel="0" collapsed="false">
      <c r="A148" s="26" t="n">
        <v>3</v>
      </c>
      <c r="B148" s="26" t="s">
        <v>228</v>
      </c>
      <c r="C148" s="12" t="n">
        <v>1000000</v>
      </c>
      <c r="D148" s="26" t="s">
        <v>208</v>
      </c>
      <c r="E148" s="26" t="s">
        <v>76</v>
      </c>
      <c r="F148" s="12" t="n">
        <v>1000000</v>
      </c>
      <c r="G148" s="26" t="n">
        <v>4</v>
      </c>
      <c r="H148" s="22" t="n">
        <v>0.929244999952061</v>
      </c>
    </row>
    <row r="149" customFormat="false" ht="15" hidden="false" customHeight="false" outlineLevel="0" collapsed="false">
      <c r="A149" s="26" t="n">
        <v>3</v>
      </c>
      <c r="B149" s="26" t="s">
        <v>228</v>
      </c>
      <c r="C149" s="12" t="n">
        <v>1000000</v>
      </c>
      <c r="D149" s="26" t="s">
        <v>208</v>
      </c>
      <c r="E149" s="26" t="s">
        <v>76</v>
      </c>
      <c r="F149" s="12" t="n">
        <v>1000000</v>
      </c>
      <c r="G149" s="26" t="n">
        <v>5</v>
      </c>
      <c r="H149" s="22" t="n">
        <v>0.934565999955339</v>
      </c>
    </row>
    <row r="150" customFormat="false" ht="15" hidden="false" customHeight="false" outlineLevel="0" collapsed="false">
      <c r="A150" s="26" t="n">
        <v>3</v>
      </c>
      <c r="B150" s="26" t="s">
        <v>228</v>
      </c>
      <c r="C150" s="12" t="n">
        <v>1000000</v>
      </c>
      <c r="D150" s="26" t="s">
        <v>208</v>
      </c>
      <c r="E150" s="26" t="s">
        <v>77</v>
      </c>
      <c r="F150" s="12" t="n">
        <v>1000000</v>
      </c>
      <c r="G150" s="26" t="n">
        <v>1</v>
      </c>
      <c r="H150" s="22" t="n">
        <v>1968.38470499995</v>
      </c>
    </row>
    <row r="151" customFormat="false" ht="15" hidden="false" customHeight="false" outlineLevel="0" collapsed="false">
      <c r="A151" s="26" t="n">
        <v>3</v>
      </c>
      <c r="B151" s="26" t="s">
        <v>228</v>
      </c>
      <c r="C151" s="12" t="n">
        <v>1000000</v>
      </c>
      <c r="D151" s="26" t="s">
        <v>208</v>
      </c>
      <c r="E151" s="26" t="s">
        <v>77</v>
      </c>
      <c r="F151" s="12" t="n">
        <v>1000000</v>
      </c>
      <c r="G151" s="26" t="n">
        <v>2</v>
      </c>
      <c r="H151" s="22" t="n">
        <v>1695.41993500002</v>
      </c>
    </row>
    <row r="152" customFormat="false" ht="15" hidden="false" customHeight="false" outlineLevel="0" collapsed="false">
      <c r="A152" s="26" t="n">
        <v>3</v>
      </c>
      <c r="B152" s="26" t="s">
        <v>228</v>
      </c>
      <c r="C152" s="12" t="n">
        <v>1000000</v>
      </c>
      <c r="D152" s="26" t="s">
        <v>208</v>
      </c>
      <c r="E152" s="26" t="s">
        <v>77</v>
      </c>
      <c r="F152" s="12" t="n">
        <v>1000000</v>
      </c>
      <c r="G152" s="26" t="n">
        <v>3</v>
      </c>
      <c r="H152" s="22" t="n">
        <v>939.999083000089</v>
      </c>
    </row>
    <row r="153" customFormat="false" ht="15" hidden="false" customHeight="false" outlineLevel="0" collapsed="false">
      <c r="A153" s="26" t="n">
        <v>3</v>
      </c>
      <c r="B153" s="26" t="s">
        <v>228</v>
      </c>
      <c r="C153" s="12" t="n">
        <v>1000000</v>
      </c>
      <c r="D153" s="26" t="s">
        <v>208</v>
      </c>
      <c r="E153" s="26" t="s">
        <v>77</v>
      </c>
      <c r="F153" s="12" t="n">
        <v>1000000</v>
      </c>
      <c r="G153" s="26" t="n">
        <v>4</v>
      </c>
      <c r="H153" s="22" t="n">
        <v>858.162662000041</v>
      </c>
    </row>
    <row r="154" customFormat="false" ht="15" hidden="false" customHeight="false" outlineLevel="0" collapsed="false">
      <c r="A154" s="26" t="n">
        <v>3</v>
      </c>
      <c r="B154" s="26" t="s">
        <v>228</v>
      </c>
      <c r="C154" s="12" t="n">
        <v>1000000</v>
      </c>
      <c r="D154" s="26" t="s">
        <v>208</v>
      </c>
      <c r="E154" s="26" t="s">
        <v>77</v>
      </c>
      <c r="F154" s="12" t="n">
        <v>1000000</v>
      </c>
      <c r="G154" s="26" t="n">
        <v>5</v>
      </c>
      <c r="H154" s="22" t="n">
        <v>2121.88452999999</v>
      </c>
    </row>
    <row r="155" customFormat="false" ht="15" hidden="false" customHeight="false" outlineLevel="0" collapsed="false">
      <c r="A155" s="26" t="n">
        <v>1</v>
      </c>
      <c r="B155" s="26" t="s">
        <v>228</v>
      </c>
      <c r="C155" s="12" t="n">
        <v>1000000</v>
      </c>
      <c r="D155" s="26" t="s">
        <v>213</v>
      </c>
      <c r="E155" s="26" t="s">
        <v>76</v>
      </c>
      <c r="F155" s="12" t="n">
        <v>10</v>
      </c>
      <c r="G155" s="26" t="n">
        <v>1</v>
      </c>
      <c r="H155" s="22" t="n">
        <v>0.792713000009826</v>
      </c>
    </row>
    <row r="156" customFormat="false" ht="15" hidden="false" customHeight="false" outlineLevel="0" collapsed="false">
      <c r="A156" s="26" t="n">
        <v>1</v>
      </c>
      <c r="B156" s="26" t="s">
        <v>228</v>
      </c>
      <c r="C156" s="12" t="n">
        <v>1000000</v>
      </c>
      <c r="D156" s="26" t="s">
        <v>213</v>
      </c>
      <c r="E156" s="26" t="s">
        <v>76</v>
      </c>
      <c r="F156" s="12" t="n">
        <v>10</v>
      </c>
      <c r="G156" s="26" t="n">
        <v>2</v>
      </c>
      <c r="H156" s="22" t="n">
        <v>0.668452000013531</v>
      </c>
    </row>
    <row r="157" customFormat="false" ht="15" hidden="false" customHeight="false" outlineLevel="0" collapsed="false">
      <c r="A157" s="26" t="n">
        <v>1</v>
      </c>
      <c r="B157" s="26" t="s">
        <v>228</v>
      </c>
      <c r="C157" s="12" t="n">
        <v>1000000</v>
      </c>
      <c r="D157" s="26" t="s">
        <v>213</v>
      </c>
      <c r="E157" s="26" t="s">
        <v>76</v>
      </c>
      <c r="F157" s="12" t="n">
        <v>10</v>
      </c>
      <c r="G157" s="26" t="n">
        <v>3</v>
      </c>
      <c r="H157" s="22" t="n">
        <v>0.618433999989065</v>
      </c>
    </row>
    <row r="158" customFormat="false" ht="15" hidden="false" customHeight="false" outlineLevel="0" collapsed="false">
      <c r="A158" s="26" t="n">
        <v>1</v>
      </c>
      <c r="B158" s="26" t="s">
        <v>228</v>
      </c>
      <c r="C158" s="12" t="n">
        <v>1000000</v>
      </c>
      <c r="D158" s="26" t="s">
        <v>213</v>
      </c>
      <c r="E158" s="26" t="s">
        <v>76</v>
      </c>
      <c r="F158" s="12" t="n">
        <v>10</v>
      </c>
      <c r="G158" s="26" t="n">
        <v>4</v>
      </c>
      <c r="H158" s="22" t="n">
        <v>0.655924000000141</v>
      </c>
    </row>
    <row r="159" customFormat="false" ht="15" hidden="false" customHeight="false" outlineLevel="0" collapsed="false">
      <c r="A159" s="26" t="n">
        <v>1</v>
      </c>
      <c r="B159" s="26" t="s">
        <v>228</v>
      </c>
      <c r="C159" s="12" t="n">
        <v>1000000</v>
      </c>
      <c r="D159" s="26" t="s">
        <v>213</v>
      </c>
      <c r="E159" s="26" t="s">
        <v>76</v>
      </c>
      <c r="F159" s="12" t="n">
        <v>10</v>
      </c>
      <c r="G159" s="26" t="n">
        <v>5</v>
      </c>
      <c r="H159" s="22" t="n">
        <v>0.61754299997574</v>
      </c>
    </row>
    <row r="160" customFormat="false" ht="15" hidden="false" customHeight="false" outlineLevel="0" collapsed="false">
      <c r="A160" s="26" t="n">
        <v>1</v>
      </c>
      <c r="B160" s="26" t="s">
        <v>228</v>
      </c>
      <c r="C160" s="12" t="n">
        <v>1000000</v>
      </c>
      <c r="D160" s="26" t="s">
        <v>213</v>
      </c>
      <c r="E160" s="26" t="s">
        <v>77</v>
      </c>
      <c r="F160" s="12" t="n">
        <v>10</v>
      </c>
      <c r="G160" s="26" t="n">
        <v>1</v>
      </c>
      <c r="H160" s="22" t="n">
        <v>0.600723999980346</v>
      </c>
    </row>
    <row r="161" customFormat="false" ht="15" hidden="false" customHeight="false" outlineLevel="0" collapsed="false">
      <c r="A161" s="26" t="n">
        <v>1</v>
      </c>
      <c r="B161" s="26" t="s">
        <v>228</v>
      </c>
      <c r="C161" s="12" t="n">
        <v>1000000</v>
      </c>
      <c r="D161" s="26" t="s">
        <v>213</v>
      </c>
      <c r="E161" s="26" t="s">
        <v>77</v>
      </c>
      <c r="F161" s="12" t="n">
        <v>10</v>
      </c>
      <c r="G161" s="26" t="n">
        <v>2</v>
      </c>
      <c r="H161" s="22" t="n">
        <v>0.599962000023879</v>
      </c>
    </row>
    <row r="162" customFormat="false" ht="15" hidden="false" customHeight="false" outlineLevel="0" collapsed="false">
      <c r="A162" s="26" t="n">
        <v>1</v>
      </c>
      <c r="B162" s="26" t="s">
        <v>228</v>
      </c>
      <c r="C162" s="12" t="n">
        <v>1000000</v>
      </c>
      <c r="D162" s="26" t="s">
        <v>213</v>
      </c>
      <c r="E162" s="26" t="s">
        <v>77</v>
      </c>
      <c r="F162" s="12" t="n">
        <v>10</v>
      </c>
      <c r="G162" s="26" t="n">
        <v>3</v>
      </c>
      <c r="H162" s="22" t="n">
        <v>0.627113000007284</v>
      </c>
    </row>
    <row r="163" customFormat="false" ht="15" hidden="false" customHeight="false" outlineLevel="0" collapsed="false">
      <c r="A163" s="26" t="n">
        <v>1</v>
      </c>
      <c r="B163" s="26" t="s">
        <v>228</v>
      </c>
      <c r="C163" s="12" t="n">
        <v>1000000</v>
      </c>
      <c r="D163" s="26" t="s">
        <v>213</v>
      </c>
      <c r="E163" s="26" t="s">
        <v>77</v>
      </c>
      <c r="F163" s="12" t="n">
        <v>10</v>
      </c>
      <c r="G163" s="26" t="n">
        <v>4</v>
      </c>
      <c r="H163" s="22" t="n">
        <v>0.685753000027489</v>
      </c>
    </row>
    <row r="164" customFormat="false" ht="15" hidden="false" customHeight="false" outlineLevel="0" collapsed="false">
      <c r="A164" s="26" t="n">
        <v>1</v>
      </c>
      <c r="B164" s="26" t="s">
        <v>228</v>
      </c>
      <c r="C164" s="12" t="n">
        <v>1000000</v>
      </c>
      <c r="D164" s="26" t="s">
        <v>213</v>
      </c>
      <c r="E164" s="26" t="s">
        <v>77</v>
      </c>
      <c r="F164" s="12" t="n">
        <v>10</v>
      </c>
      <c r="G164" s="26" t="n">
        <v>5</v>
      </c>
      <c r="H164" s="22" t="n">
        <v>0.714504999962173</v>
      </c>
    </row>
    <row r="165" customFormat="false" ht="15" hidden="false" customHeight="false" outlineLevel="0" collapsed="false">
      <c r="A165" s="26" t="n">
        <v>1</v>
      </c>
      <c r="B165" s="26" t="s">
        <v>228</v>
      </c>
      <c r="C165" s="12" t="n">
        <v>1000000</v>
      </c>
      <c r="D165" s="26" t="s">
        <v>213</v>
      </c>
      <c r="E165" s="26" t="s">
        <v>76</v>
      </c>
      <c r="F165" s="12" t="n">
        <v>1000</v>
      </c>
      <c r="G165" s="26" t="n">
        <v>1</v>
      </c>
      <c r="H165" s="22" t="n">
        <v>0.641282000003685</v>
      </c>
    </row>
    <row r="166" customFormat="false" ht="15" hidden="false" customHeight="false" outlineLevel="0" collapsed="false">
      <c r="A166" s="26" t="n">
        <v>1</v>
      </c>
      <c r="B166" s="26" t="s">
        <v>228</v>
      </c>
      <c r="C166" s="12" t="n">
        <v>1000000</v>
      </c>
      <c r="D166" s="26" t="s">
        <v>213</v>
      </c>
      <c r="E166" s="26" t="s">
        <v>76</v>
      </c>
      <c r="F166" s="12" t="n">
        <v>1000</v>
      </c>
      <c r="G166" s="26" t="n">
        <v>2</v>
      </c>
      <c r="H166" s="22" t="n">
        <v>0.639320000004773</v>
      </c>
    </row>
    <row r="167" customFormat="false" ht="15" hidden="false" customHeight="false" outlineLevel="0" collapsed="false">
      <c r="A167" s="26" t="n">
        <v>1</v>
      </c>
      <c r="B167" s="26" t="s">
        <v>228</v>
      </c>
      <c r="C167" s="12" t="n">
        <v>1000000</v>
      </c>
      <c r="D167" s="26" t="s">
        <v>213</v>
      </c>
      <c r="E167" s="26" t="s">
        <v>76</v>
      </c>
      <c r="F167" s="12" t="n">
        <v>1000</v>
      </c>
      <c r="G167" s="26" t="n">
        <v>3</v>
      </c>
      <c r="H167" s="22" t="n">
        <v>0.61895800001821</v>
      </c>
    </row>
    <row r="168" customFormat="false" ht="15" hidden="false" customHeight="false" outlineLevel="0" collapsed="false">
      <c r="A168" s="26" t="n">
        <v>1</v>
      </c>
      <c r="B168" s="26" t="s">
        <v>228</v>
      </c>
      <c r="C168" s="12" t="n">
        <v>1000000</v>
      </c>
      <c r="D168" s="26" t="s">
        <v>213</v>
      </c>
      <c r="E168" s="26" t="s">
        <v>76</v>
      </c>
      <c r="F168" s="12" t="n">
        <v>1000</v>
      </c>
      <c r="G168" s="26" t="n">
        <v>4</v>
      </c>
      <c r="H168" s="22" t="n">
        <v>0.671875000023192</v>
      </c>
    </row>
    <row r="169" customFormat="false" ht="15" hidden="false" customHeight="false" outlineLevel="0" collapsed="false">
      <c r="A169" s="26" t="n">
        <v>1</v>
      </c>
      <c r="B169" s="26" t="s">
        <v>228</v>
      </c>
      <c r="C169" s="12" t="n">
        <v>1000000</v>
      </c>
      <c r="D169" s="26" t="s">
        <v>213</v>
      </c>
      <c r="E169" s="26" t="s">
        <v>76</v>
      </c>
      <c r="F169" s="12" t="n">
        <v>1000</v>
      </c>
      <c r="G169" s="26" t="n">
        <v>5</v>
      </c>
      <c r="H169" s="22" t="n">
        <v>0.626042000021698</v>
      </c>
    </row>
    <row r="170" customFormat="false" ht="15" hidden="false" customHeight="false" outlineLevel="0" collapsed="false">
      <c r="A170" s="26" t="n">
        <v>1</v>
      </c>
      <c r="B170" s="26" t="s">
        <v>228</v>
      </c>
      <c r="C170" s="12" t="n">
        <v>1000000</v>
      </c>
      <c r="D170" s="26" t="s">
        <v>213</v>
      </c>
      <c r="E170" s="26" t="s">
        <v>77</v>
      </c>
      <c r="F170" s="12" t="n">
        <v>1000</v>
      </c>
      <c r="G170" s="26" t="n">
        <v>1</v>
      </c>
      <c r="H170" s="22" t="n">
        <v>1.42225199999757</v>
      </c>
    </row>
    <row r="171" customFormat="false" ht="15" hidden="false" customHeight="false" outlineLevel="0" collapsed="false">
      <c r="A171" s="26" t="n">
        <v>1</v>
      </c>
      <c r="B171" s="26" t="s">
        <v>228</v>
      </c>
      <c r="C171" s="12" t="n">
        <v>1000000</v>
      </c>
      <c r="D171" s="26" t="s">
        <v>213</v>
      </c>
      <c r="E171" s="26" t="s">
        <v>77</v>
      </c>
      <c r="F171" s="12" t="n">
        <v>1000</v>
      </c>
      <c r="G171" s="26" t="n">
        <v>2</v>
      </c>
      <c r="H171" s="22" t="n">
        <v>1.45811600003754</v>
      </c>
    </row>
    <row r="172" customFormat="false" ht="15" hidden="false" customHeight="false" outlineLevel="0" collapsed="false">
      <c r="A172" s="26" t="n">
        <v>1</v>
      </c>
      <c r="B172" s="26" t="s">
        <v>228</v>
      </c>
      <c r="C172" s="12" t="n">
        <v>1000000</v>
      </c>
      <c r="D172" s="26" t="s">
        <v>213</v>
      </c>
      <c r="E172" s="26" t="s">
        <v>77</v>
      </c>
      <c r="F172" s="12" t="n">
        <v>1000</v>
      </c>
      <c r="G172" s="26" t="n">
        <v>3</v>
      </c>
      <c r="H172" s="22" t="n">
        <v>1.6079780000382</v>
      </c>
    </row>
    <row r="173" customFormat="false" ht="15" hidden="false" customHeight="false" outlineLevel="0" collapsed="false">
      <c r="A173" s="26" t="n">
        <v>1</v>
      </c>
      <c r="B173" s="26" t="s">
        <v>228</v>
      </c>
      <c r="C173" s="12" t="n">
        <v>1000000</v>
      </c>
      <c r="D173" s="26" t="s">
        <v>213</v>
      </c>
      <c r="E173" s="26" t="s">
        <v>77</v>
      </c>
      <c r="F173" s="12" t="n">
        <v>1000</v>
      </c>
      <c r="G173" s="26" t="n">
        <v>4</v>
      </c>
      <c r="H173" s="22" t="n">
        <v>2.24684599999137</v>
      </c>
    </row>
    <row r="174" customFormat="false" ht="15" hidden="false" customHeight="false" outlineLevel="0" collapsed="false">
      <c r="A174" s="26" t="n">
        <v>1</v>
      </c>
      <c r="B174" s="26" t="s">
        <v>228</v>
      </c>
      <c r="C174" s="12" t="n">
        <v>1000000</v>
      </c>
      <c r="D174" s="26" t="s">
        <v>213</v>
      </c>
      <c r="E174" s="26" t="s">
        <v>77</v>
      </c>
      <c r="F174" s="12" t="n">
        <v>1000</v>
      </c>
      <c r="G174" s="26" t="n">
        <v>5</v>
      </c>
      <c r="H174" s="22" t="n">
        <v>2.29422099999965</v>
      </c>
    </row>
    <row r="175" customFormat="false" ht="15" hidden="false" customHeight="false" outlineLevel="0" collapsed="false">
      <c r="A175" s="26" t="n">
        <v>1</v>
      </c>
      <c r="B175" s="26" t="s">
        <v>228</v>
      </c>
      <c r="C175" s="12" t="n">
        <v>1000000</v>
      </c>
      <c r="D175" s="26" t="s">
        <v>213</v>
      </c>
      <c r="E175" s="26" t="s">
        <v>76</v>
      </c>
      <c r="F175" s="12" t="n">
        <v>10000</v>
      </c>
      <c r="G175" s="26" t="n">
        <v>1</v>
      </c>
      <c r="H175" s="22" t="n">
        <v>0.664269000026252</v>
      </c>
    </row>
    <row r="176" customFormat="false" ht="15" hidden="false" customHeight="false" outlineLevel="0" collapsed="false">
      <c r="A176" s="26" t="n">
        <v>1</v>
      </c>
      <c r="B176" s="26" t="s">
        <v>228</v>
      </c>
      <c r="C176" s="12" t="n">
        <v>1000000</v>
      </c>
      <c r="D176" s="26" t="s">
        <v>213</v>
      </c>
      <c r="E176" s="26" t="s">
        <v>76</v>
      </c>
      <c r="F176" s="12" t="n">
        <v>10000</v>
      </c>
      <c r="G176" s="26" t="n">
        <v>2</v>
      </c>
      <c r="H176" s="22" t="n">
        <v>0.607786999978544</v>
      </c>
    </row>
    <row r="177" customFormat="false" ht="15" hidden="false" customHeight="false" outlineLevel="0" collapsed="false">
      <c r="A177" s="26" t="n">
        <v>1</v>
      </c>
      <c r="B177" s="26" t="s">
        <v>228</v>
      </c>
      <c r="C177" s="12" t="n">
        <v>1000000</v>
      </c>
      <c r="D177" s="26" t="s">
        <v>213</v>
      </c>
      <c r="E177" s="26" t="s">
        <v>76</v>
      </c>
      <c r="F177" s="12" t="n">
        <v>10000</v>
      </c>
      <c r="G177" s="26" t="n">
        <v>3</v>
      </c>
      <c r="H177" s="22" t="n">
        <v>0.829328999998324</v>
      </c>
    </row>
    <row r="178" customFormat="false" ht="15" hidden="false" customHeight="false" outlineLevel="0" collapsed="false">
      <c r="A178" s="26" t="n">
        <v>1</v>
      </c>
      <c r="B178" s="26" t="s">
        <v>228</v>
      </c>
      <c r="C178" s="12" t="n">
        <v>1000000</v>
      </c>
      <c r="D178" s="26" t="s">
        <v>213</v>
      </c>
      <c r="E178" s="26" t="s">
        <v>76</v>
      </c>
      <c r="F178" s="12" t="n">
        <v>10000</v>
      </c>
      <c r="G178" s="26" t="n">
        <v>4</v>
      </c>
      <c r="H178" s="22" t="n">
        <v>0.710531999970954</v>
      </c>
    </row>
    <row r="179" customFormat="false" ht="15" hidden="false" customHeight="false" outlineLevel="0" collapsed="false">
      <c r="A179" s="26" t="n">
        <v>1</v>
      </c>
      <c r="B179" s="26" t="s">
        <v>228</v>
      </c>
      <c r="C179" s="12" t="n">
        <v>1000000</v>
      </c>
      <c r="D179" s="26" t="s">
        <v>213</v>
      </c>
      <c r="E179" s="26" t="s">
        <v>76</v>
      </c>
      <c r="F179" s="12" t="n">
        <v>10000</v>
      </c>
      <c r="G179" s="26" t="n">
        <v>5</v>
      </c>
      <c r="H179" s="22" t="n">
        <v>0.681095999993886</v>
      </c>
    </row>
    <row r="180" customFormat="false" ht="15" hidden="false" customHeight="false" outlineLevel="0" collapsed="false">
      <c r="A180" s="26" t="n">
        <v>1</v>
      </c>
      <c r="B180" s="26" t="s">
        <v>228</v>
      </c>
      <c r="C180" s="12" t="n">
        <v>1000000</v>
      </c>
      <c r="D180" s="26" t="s">
        <v>213</v>
      </c>
      <c r="E180" s="26" t="s">
        <v>77</v>
      </c>
      <c r="F180" s="12" t="n">
        <v>10000</v>
      </c>
      <c r="G180" s="26" t="n">
        <v>1</v>
      </c>
      <c r="H180" s="22" t="n">
        <v>8.13750499997923</v>
      </c>
    </row>
    <row r="181" customFormat="false" ht="15" hidden="false" customHeight="false" outlineLevel="0" collapsed="false">
      <c r="A181" s="26" t="n">
        <v>1</v>
      </c>
      <c r="B181" s="26" t="s">
        <v>228</v>
      </c>
      <c r="C181" s="12" t="n">
        <v>1000000</v>
      </c>
      <c r="D181" s="26" t="s">
        <v>213</v>
      </c>
      <c r="E181" s="26" t="s">
        <v>77</v>
      </c>
      <c r="F181" s="12" t="n">
        <v>10000</v>
      </c>
      <c r="G181" s="26" t="n">
        <v>2</v>
      </c>
      <c r="H181" s="22" t="n">
        <v>8.3834210000191</v>
      </c>
    </row>
    <row r="182" customFormat="false" ht="15" hidden="false" customHeight="false" outlineLevel="0" collapsed="false">
      <c r="A182" s="26" t="n">
        <v>1</v>
      </c>
      <c r="B182" s="26" t="s">
        <v>228</v>
      </c>
      <c r="C182" s="12" t="n">
        <v>1000000</v>
      </c>
      <c r="D182" s="26" t="s">
        <v>213</v>
      </c>
      <c r="E182" s="26" t="s">
        <v>77</v>
      </c>
      <c r="F182" s="12" t="n">
        <v>10000</v>
      </c>
      <c r="G182" s="26" t="n">
        <v>3</v>
      </c>
      <c r="H182" s="22" t="n">
        <v>8.23961300000065</v>
      </c>
    </row>
    <row r="183" customFormat="false" ht="15" hidden="false" customHeight="false" outlineLevel="0" collapsed="false">
      <c r="A183" s="26" t="n">
        <v>1</v>
      </c>
      <c r="B183" s="26" t="s">
        <v>228</v>
      </c>
      <c r="C183" s="12" t="n">
        <v>1000000</v>
      </c>
      <c r="D183" s="26" t="s">
        <v>213</v>
      </c>
      <c r="E183" s="26" t="s">
        <v>77</v>
      </c>
      <c r="F183" s="12" t="n">
        <v>10000</v>
      </c>
      <c r="G183" s="26" t="n">
        <v>4</v>
      </c>
      <c r="H183" s="22" t="n">
        <v>7.94501600000785</v>
      </c>
    </row>
    <row r="184" customFormat="false" ht="15" hidden="false" customHeight="false" outlineLevel="0" collapsed="false">
      <c r="A184" s="26" t="n">
        <v>1</v>
      </c>
      <c r="B184" s="26" t="s">
        <v>228</v>
      </c>
      <c r="C184" s="12" t="n">
        <v>1000000</v>
      </c>
      <c r="D184" s="26" t="s">
        <v>213</v>
      </c>
      <c r="E184" s="26" t="s">
        <v>77</v>
      </c>
      <c r="F184" s="12" t="n">
        <v>10000</v>
      </c>
      <c r="G184" s="26" t="n">
        <v>5</v>
      </c>
      <c r="H184" s="22" t="n">
        <v>8.34088999999949</v>
      </c>
    </row>
    <row r="185" customFormat="false" ht="15" hidden="false" customHeight="false" outlineLevel="0" collapsed="false">
      <c r="A185" s="26" t="n">
        <v>1</v>
      </c>
      <c r="B185" s="26" t="s">
        <v>228</v>
      </c>
      <c r="C185" s="12" t="n">
        <v>1000000</v>
      </c>
      <c r="D185" s="26" t="s">
        <v>213</v>
      </c>
      <c r="E185" s="26" t="s">
        <v>76</v>
      </c>
      <c r="F185" s="12" t="n">
        <v>100000</v>
      </c>
      <c r="G185" s="26" t="n">
        <v>1</v>
      </c>
      <c r="H185" s="22" t="n">
        <v>0.625285000012354</v>
      </c>
    </row>
    <row r="186" customFormat="false" ht="15" hidden="false" customHeight="false" outlineLevel="0" collapsed="false">
      <c r="A186" s="26" t="n">
        <v>1</v>
      </c>
      <c r="B186" s="26" t="s">
        <v>228</v>
      </c>
      <c r="C186" s="12" t="n">
        <v>1000000</v>
      </c>
      <c r="D186" s="26" t="s">
        <v>213</v>
      </c>
      <c r="E186" s="26" t="s">
        <v>76</v>
      </c>
      <c r="F186" s="12" t="n">
        <v>100000</v>
      </c>
      <c r="G186" s="26" t="n">
        <v>2</v>
      </c>
      <c r="H186" s="22" t="n">
        <v>0.658585999985917</v>
      </c>
    </row>
    <row r="187" customFormat="false" ht="15" hidden="false" customHeight="false" outlineLevel="0" collapsed="false">
      <c r="A187" s="26" t="n">
        <v>1</v>
      </c>
      <c r="B187" s="26" t="s">
        <v>228</v>
      </c>
      <c r="C187" s="12" t="n">
        <v>1000000</v>
      </c>
      <c r="D187" s="26" t="s">
        <v>213</v>
      </c>
      <c r="E187" s="26" t="s">
        <v>76</v>
      </c>
      <c r="F187" s="12" t="n">
        <v>100000</v>
      </c>
      <c r="G187" s="26" t="n">
        <v>3</v>
      </c>
      <c r="H187" s="22" t="n">
        <v>0.602889999981926</v>
      </c>
    </row>
    <row r="188" customFormat="false" ht="15" hidden="false" customHeight="false" outlineLevel="0" collapsed="false">
      <c r="A188" s="26" t="n">
        <v>1</v>
      </c>
      <c r="B188" s="26" t="s">
        <v>228</v>
      </c>
      <c r="C188" s="12" t="n">
        <v>1000000</v>
      </c>
      <c r="D188" s="26" t="s">
        <v>213</v>
      </c>
      <c r="E188" s="26" t="s">
        <v>76</v>
      </c>
      <c r="F188" s="12" t="n">
        <v>100000</v>
      </c>
      <c r="G188" s="26" t="n">
        <v>4</v>
      </c>
      <c r="H188" s="22" t="n">
        <v>0.602006999997684</v>
      </c>
    </row>
    <row r="189" customFormat="false" ht="15" hidden="false" customHeight="false" outlineLevel="0" collapsed="false">
      <c r="A189" s="26" t="n">
        <v>1</v>
      </c>
      <c r="B189" s="26" t="s">
        <v>228</v>
      </c>
      <c r="C189" s="12" t="n">
        <v>1000000</v>
      </c>
      <c r="D189" s="26" t="s">
        <v>213</v>
      </c>
      <c r="E189" s="26" t="s">
        <v>76</v>
      </c>
      <c r="F189" s="12" t="n">
        <v>100000</v>
      </c>
      <c r="G189" s="26" t="n">
        <v>5</v>
      </c>
      <c r="H189" s="22" t="n">
        <v>0.58408799998233</v>
      </c>
    </row>
    <row r="190" customFormat="false" ht="15" hidden="false" customHeight="false" outlineLevel="0" collapsed="false">
      <c r="A190" s="26" t="n">
        <v>1</v>
      </c>
      <c r="B190" s="26" t="s">
        <v>228</v>
      </c>
      <c r="C190" s="12" t="n">
        <v>1000000</v>
      </c>
      <c r="D190" s="26" t="s">
        <v>213</v>
      </c>
      <c r="E190" s="26" t="s">
        <v>77</v>
      </c>
      <c r="F190" s="12" t="n">
        <v>100000</v>
      </c>
      <c r="G190" s="26" t="n">
        <v>1</v>
      </c>
      <c r="H190" s="22" t="n">
        <v>75.2057910000303</v>
      </c>
    </row>
    <row r="191" customFormat="false" ht="15" hidden="false" customHeight="false" outlineLevel="0" collapsed="false">
      <c r="A191" s="26" t="n">
        <v>1</v>
      </c>
      <c r="B191" s="26" t="s">
        <v>228</v>
      </c>
      <c r="C191" s="12" t="n">
        <v>1000000</v>
      </c>
      <c r="D191" s="26" t="s">
        <v>213</v>
      </c>
      <c r="E191" s="26" t="s">
        <v>77</v>
      </c>
      <c r="F191" s="12" t="n">
        <v>100000</v>
      </c>
      <c r="G191" s="26" t="n">
        <v>2</v>
      </c>
      <c r="H191" s="22" t="n">
        <v>74.2381679999653</v>
      </c>
    </row>
    <row r="192" customFormat="false" ht="15" hidden="false" customHeight="false" outlineLevel="0" collapsed="false">
      <c r="A192" s="26" t="n">
        <v>1</v>
      </c>
      <c r="B192" s="26" t="s">
        <v>228</v>
      </c>
      <c r="C192" s="12" t="n">
        <v>1000000</v>
      </c>
      <c r="D192" s="26" t="s">
        <v>213</v>
      </c>
      <c r="E192" s="26" t="s">
        <v>77</v>
      </c>
      <c r="F192" s="12" t="n">
        <v>100000</v>
      </c>
      <c r="G192" s="26" t="n">
        <v>3</v>
      </c>
      <c r="H192" s="22" t="n">
        <v>76.9938649999631</v>
      </c>
    </row>
    <row r="193" customFormat="false" ht="15" hidden="false" customHeight="false" outlineLevel="0" collapsed="false">
      <c r="A193" s="26" t="n">
        <v>1</v>
      </c>
      <c r="B193" s="26" t="s">
        <v>228</v>
      </c>
      <c r="C193" s="12" t="n">
        <v>1000000</v>
      </c>
      <c r="D193" s="26" t="s">
        <v>213</v>
      </c>
      <c r="E193" s="26" t="s">
        <v>77</v>
      </c>
      <c r="F193" s="12" t="n">
        <v>100000</v>
      </c>
      <c r="G193" s="26" t="n">
        <v>4</v>
      </c>
      <c r="H193" s="22" t="n">
        <v>76.7848930000241</v>
      </c>
    </row>
    <row r="194" customFormat="false" ht="15" hidden="false" customHeight="false" outlineLevel="0" collapsed="false">
      <c r="A194" s="26" t="n">
        <v>1</v>
      </c>
      <c r="B194" s="26" t="s">
        <v>228</v>
      </c>
      <c r="C194" s="12" t="n">
        <v>1000000</v>
      </c>
      <c r="D194" s="26" t="s">
        <v>213</v>
      </c>
      <c r="E194" s="26" t="s">
        <v>77</v>
      </c>
      <c r="F194" s="12" t="n">
        <v>100000</v>
      </c>
      <c r="G194" s="26" t="n">
        <v>5</v>
      </c>
      <c r="H194" s="22" t="n">
        <v>75.1123869999901</v>
      </c>
    </row>
    <row r="195" customFormat="false" ht="15" hidden="false" customHeight="false" outlineLevel="0" collapsed="false">
      <c r="A195" s="26" t="n">
        <v>1</v>
      </c>
      <c r="B195" s="26" t="s">
        <v>228</v>
      </c>
      <c r="C195" s="12" t="n">
        <v>1000000</v>
      </c>
      <c r="D195" s="26" t="s">
        <v>213</v>
      </c>
      <c r="E195" s="26" t="s">
        <v>76</v>
      </c>
      <c r="F195" s="12" t="n">
        <v>1000000</v>
      </c>
      <c r="G195" s="26" t="n">
        <v>1</v>
      </c>
      <c r="H195" s="22" t="n">
        <v>0.634960000013507</v>
      </c>
    </row>
    <row r="196" customFormat="false" ht="15" hidden="false" customHeight="false" outlineLevel="0" collapsed="false">
      <c r="A196" s="26" t="n">
        <v>1</v>
      </c>
      <c r="B196" s="26" t="s">
        <v>228</v>
      </c>
      <c r="C196" s="12" t="n">
        <v>1000000</v>
      </c>
      <c r="D196" s="26" t="s">
        <v>213</v>
      </c>
      <c r="E196" s="26" t="s">
        <v>76</v>
      </c>
      <c r="F196" s="12" t="n">
        <v>1000000</v>
      </c>
      <c r="G196" s="26" t="n">
        <v>2</v>
      </c>
      <c r="H196" s="22" t="n">
        <v>0.588960000015959</v>
      </c>
    </row>
    <row r="197" customFormat="false" ht="15" hidden="false" customHeight="false" outlineLevel="0" collapsed="false">
      <c r="A197" s="26" t="n">
        <v>1</v>
      </c>
      <c r="B197" s="26" t="s">
        <v>228</v>
      </c>
      <c r="C197" s="12" t="n">
        <v>1000000</v>
      </c>
      <c r="D197" s="26" t="s">
        <v>213</v>
      </c>
      <c r="E197" s="26" t="s">
        <v>76</v>
      </c>
      <c r="F197" s="12" t="n">
        <v>1000000</v>
      </c>
      <c r="G197" s="26" t="n">
        <v>3</v>
      </c>
      <c r="H197" s="22" t="n">
        <v>0.587254000038229</v>
      </c>
    </row>
    <row r="198" customFormat="false" ht="15" hidden="false" customHeight="false" outlineLevel="0" collapsed="false">
      <c r="A198" s="26" t="n">
        <v>1</v>
      </c>
      <c r="B198" s="26" t="s">
        <v>228</v>
      </c>
      <c r="C198" s="12" t="n">
        <v>1000000</v>
      </c>
      <c r="D198" s="26" t="s">
        <v>213</v>
      </c>
      <c r="E198" s="26" t="s">
        <v>76</v>
      </c>
      <c r="F198" s="12" t="n">
        <v>1000000</v>
      </c>
      <c r="G198" s="26" t="n">
        <v>4</v>
      </c>
      <c r="H198" s="22" t="n">
        <v>0.602214000025469</v>
      </c>
    </row>
    <row r="199" customFormat="false" ht="15" hidden="false" customHeight="false" outlineLevel="0" collapsed="false">
      <c r="A199" s="26" t="n">
        <v>1</v>
      </c>
      <c r="B199" s="26" t="s">
        <v>228</v>
      </c>
      <c r="C199" s="12" t="n">
        <v>1000000</v>
      </c>
      <c r="D199" s="26" t="s">
        <v>213</v>
      </c>
      <c r="E199" s="26" t="s">
        <v>76</v>
      </c>
      <c r="F199" s="12" t="n">
        <v>1000000</v>
      </c>
      <c r="G199" s="26" t="n">
        <v>5</v>
      </c>
      <c r="H199" s="22" t="n">
        <v>0.651403999995637</v>
      </c>
    </row>
    <row r="200" customFormat="false" ht="15" hidden="false" customHeight="false" outlineLevel="0" collapsed="false">
      <c r="A200" s="26" t="n">
        <v>1</v>
      </c>
      <c r="B200" s="26" t="s">
        <v>228</v>
      </c>
      <c r="C200" s="12" t="n">
        <v>1000000</v>
      </c>
      <c r="D200" s="26" t="s">
        <v>213</v>
      </c>
      <c r="E200" s="26" t="s">
        <v>77</v>
      </c>
      <c r="F200" s="12" t="n">
        <v>1000000</v>
      </c>
      <c r="G200" s="26" t="n">
        <v>1</v>
      </c>
      <c r="H200" s="22" t="n">
        <v>795.665427000017</v>
      </c>
    </row>
    <row r="201" customFormat="false" ht="15" hidden="false" customHeight="false" outlineLevel="0" collapsed="false">
      <c r="A201" s="26" t="n">
        <v>1</v>
      </c>
      <c r="B201" s="26" t="s">
        <v>228</v>
      </c>
      <c r="C201" s="12" t="n">
        <v>1000000</v>
      </c>
      <c r="D201" s="26" t="s">
        <v>213</v>
      </c>
      <c r="E201" s="26" t="s">
        <v>77</v>
      </c>
      <c r="F201" s="12" t="n">
        <v>1000000</v>
      </c>
      <c r="G201" s="26" t="n">
        <v>2</v>
      </c>
      <c r="H201" s="22" t="n">
        <v>866.154238999968</v>
      </c>
    </row>
    <row r="202" customFormat="false" ht="15" hidden="false" customHeight="false" outlineLevel="0" collapsed="false">
      <c r="A202" s="26" t="n">
        <v>1</v>
      </c>
      <c r="B202" s="26" t="s">
        <v>228</v>
      </c>
      <c r="C202" s="12" t="n">
        <v>1000000</v>
      </c>
      <c r="D202" s="26" t="s">
        <v>213</v>
      </c>
      <c r="E202" s="26" t="s">
        <v>77</v>
      </c>
      <c r="F202" s="12" t="n">
        <v>1000000</v>
      </c>
      <c r="G202" s="26" t="n">
        <v>3</v>
      </c>
      <c r="H202" s="22" t="n">
        <v>784.033647999991</v>
      </c>
    </row>
    <row r="203" customFormat="false" ht="15" hidden="false" customHeight="false" outlineLevel="0" collapsed="false">
      <c r="A203" s="26" t="n">
        <v>1</v>
      </c>
      <c r="B203" s="26" t="s">
        <v>228</v>
      </c>
      <c r="C203" s="12" t="n">
        <v>1000000</v>
      </c>
      <c r="D203" s="26" t="s">
        <v>213</v>
      </c>
      <c r="E203" s="26" t="s">
        <v>77</v>
      </c>
      <c r="F203" s="12" t="n">
        <v>1000000</v>
      </c>
      <c r="G203" s="26" t="n">
        <v>4</v>
      </c>
      <c r="H203" s="22" t="n">
        <v>853.923409000004</v>
      </c>
    </row>
    <row r="204" customFormat="false" ht="15" hidden="false" customHeight="false" outlineLevel="0" collapsed="false">
      <c r="A204" s="26" t="n">
        <v>1</v>
      </c>
      <c r="B204" s="26" t="s">
        <v>228</v>
      </c>
      <c r="C204" s="12" t="n">
        <v>1000000</v>
      </c>
      <c r="D204" s="26" t="s">
        <v>213</v>
      </c>
      <c r="E204" s="26" t="s">
        <v>77</v>
      </c>
      <c r="F204" s="12" t="n">
        <v>1000000</v>
      </c>
      <c r="G204" s="26" t="n">
        <v>5</v>
      </c>
      <c r="H204" s="22" t="n">
        <v>882.484574999978</v>
      </c>
    </row>
    <row r="205" customFormat="false" ht="15" hidden="false" customHeight="false" outlineLevel="0" collapsed="false">
      <c r="A205" s="26" t="n">
        <v>2</v>
      </c>
      <c r="B205" s="26" t="s">
        <v>228</v>
      </c>
      <c r="C205" s="12" t="n">
        <v>1000000</v>
      </c>
      <c r="D205" s="26" t="s">
        <v>213</v>
      </c>
      <c r="E205" s="26" t="s">
        <v>76</v>
      </c>
      <c r="F205" s="12" t="n">
        <v>10</v>
      </c>
      <c r="G205" s="26" t="n">
        <v>1</v>
      </c>
      <c r="H205" s="22" t="n">
        <v>0.797209999973347</v>
      </c>
    </row>
    <row r="206" customFormat="false" ht="15" hidden="false" customHeight="false" outlineLevel="0" collapsed="false">
      <c r="A206" s="26" t="n">
        <v>2</v>
      </c>
      <c r="B206" s="26" t="s">
        <v>228</v>
      </c>
      <c r="C206" s="12" t="n">
        <v>1000000</v>
      </c>
      <c r="D206" s="26" t="s">
        <v>213</v>
      </c>
      <c r="E206" s="26" t="s">
        <v>76</v>
      </c>
      <c r="F206" s="12" t="n">
        <v>10</v>
      </c>
      <c r="G206" s="26" t="n">
        <v>2</v>
      </c>
      <c r="H206" s="22" t="n">
        <v>0.715965000040342</v>
      </c>
    </row>
    <row r="207" customFormat="false" ht="15" hidden="false" customHeight="false" outlineLevel="0" collapsed="false">
      <c r="A207" s="26" t="n">
        <v>2</v>
      </c>
      <c r="B207" s="26" t="s">
        <v>228</v>
      </c>
      <c r="C207" s="12" t="n">
        <v>1000000</v>
      </c>
      <c r="D207" s="26" t="s">
        <v>213</v>
      </c>
      <c r="E207" s="26" t="s">
        <v>76</v>
      </c>
      <c r="F207" s="12" t="n">
        <v>10</v>
      </c>
      <c r="G207" s="26" t="n">
        <v>3</v>
      </c>
      <c r="H207" s="22" t="n">
        <v>0.646332999963306</v>
      </c>
    </row>
    <row r="208" customFormat="false" ht="15" hidden="false" customHeight="false" outlineLevel="0" collapsed="false">
      <c r="A208" s="26" t="n">
        <v>2</v>
      </c>
      <c r="B208" s="26" t="s">
        <v>228</v>
      </c>
      <c r="C208" s="12" t="n">
        <v>1000000</v>
      </c>
      <c r="D208" s="26" t="s">
        <v>213</v>
      </c>
      <c r="E208" s="26" t="s">
        <v>76</v>
      </c>
      <c r="F208" s="12" t="n">
        <v>10</v>
      </c>
      <c r="G208" s="26" t="n">
        <v>4</v>
      </c>
      <c r="H208" s="22" t="n">
        <v>0.641171999973267</v>
      </c>
    </row>
    <row r="209" customFormat="false" ht="15" hidden="false" customHeight="false" outlineLevel="0" collapsed="false">
      <c r="A209" s="26" t="n">
        <v>2</v>
      </c>
      <c r="B209" s="26" t="s">
        <v>228</v>
      </c>
      <c r="C209" s="12" t="n">
        <v>1000000</v>
      </c>
      <c r="D209" s="26" t="s">
        <v>213</v>
      </c>
      <c r="E209" s="26" t="s">
        <v>76</v>
      </c>
      <c r="F209" s="12" t="n">
        <v>10</v>
      </c>
      <c r="G209" s="26" t="n">
        <v>5</v>
      </c>
      <c r="H209" s="22" t="n">
        <v>0.63789800003633</v>
      </c>
    </row>
    <row r="210" customFormat="false" ht="15" hidden="false" customHeight="false" outlineLevel="0" collapsed="false">
      <c r="A210" s="26" t="n">
        <v>2</v>
      </c>
      <c r="B210" s="26" t="s">
        <v>228</v>
      </c>
      <c r="C210" s="12" t="n">
        <v>1000000</v>
      </c>
      <c r="D210" s="26" t="s">
        <v>213</v>
      </c>
      <c r="E210" s="26" t="s">
        <v>77</v>
      </c>
      <c r="F210" s="12" t="n">
        <v>10</v>
      </c>
      <c r="G210" s="26" t="n">
        <v>1</v>
      </c>
      <c r="H210" s="22" t="n">
        <v>1.05929400001514</v>
      </c>
    </row>
    <row r="211" customFormat="false" ht="15" hidden="false" customHeight="false" outlineLevel="0" collapsed="false">
      <c r="A211" s="26" t="n">
        <v>2</v>
      </c>
      <c r="B211" s="26" t="s">
        <v>228</v>
      </c>
      <c r="C211" s="12" t="n">
        <v>1000000</v>
      </c>
      <c r="D211" s="26" t="s">
        <v>213</v>
      </c>
      <c r="E211" s="26" t="s">
        <v>77</v>
      </c>
      <c r="F211" s="12" t="n">
        <v>10</v>
      </c>
      <c r="G211" s="26" t="n">
        <v>2</v>
      </c>
      <c r="H211" s="22" t="n">
        <v>0.798541999984082</v>
      </c>
    </row>
    <row r="212" customFormat="false" ht="15" hidden="false" customHeight="false" outlineLevel="0" collapsed="false">
      <c r="A212" s="26" t="n">
        <v>2</v>
      </c>
      <c r="B212" s="26" t="s">
        <v>228</v>
      </c>
      <c r="C212" s="12" t="n">
        <v>1000000</v>
      </c>
      <c r="D212" s="26" t="s">
        <v>213</v>
      </c>
      <c r="E212" s="26" t="s">
        <v>77</v>
      </c>
      <c r="F212" s="12" t="n">
        <v>10</v>
      </c>
      <c r="G212" s="26" t="n">
        <v>3</v>
      </c>
      <c r="H212" s="22" t="n">
        <v>0.700543999982983</v>
      </c>
    </row>
    <row r="213" customFormat="false" ht="15" hidden="false" customHeight="false" outlineLevel="0" collapsed="false">
      <c r="A213" s="26" t="n">
        <v>2</v>
      </c>
      <c r="B213" s="26" t="s">
        <v>228</v>
      </c>
      <c r="C213" s="12" t="n">
        <v>1000000</v>
      </c>
      <c r="D213" s="26" t="s">
        <v>213</v>
      </c>
      <c r="E213" s="26" t="s">
        <v>77</v>
      </c>
      <c r="F213" s="12" t="n">
        <v>10</v>
      </c>
      <c r="G213" s="26" t="n">
        <v>4</v>
      </c>
      <c r="H213" s="22" t="n">
        <v>0.687815999981467</v>
      </c>
    </row>
    <row r="214" customFormat="false" ht="15" hidden="false" customHeight="false" outlineLevel="0" collapsed="false">
      <c r="A214" s="26" t="n">
        <v>2</v>
      </c>
      <c r="B214" s="26" t="s">
        <v>228</v>
      </c>
      <c r="C214" s="12" t="n">
        <v>1000000</v>
      </c>
      <c r="D214" s="26" t="s">
        <v>213</v>
      </c>
      <c r="E214" s="26" t="s">
        <v>77</v>
      </c>
      <c r="F214" s="12" t="n">
        <v>10</v>
      </c>
      <c r="G214" s="26" t="n">
        <v>5</v>
      </c>
      <c r="H214" s="22" t="n">
        <v>0.712915999997676</v>
      </c>
    </row>
    <row r="215" customFormat="false" ht="15" hidden="false" customHeight="false" outlineLevel="0" collapsed="false">
      <c r="A215" s="26" t="n">
        <v>2</v>
      </c>
      <c r="B215" s="26" t="s">
        <v>228</v>
      </c>
      <c r="C215" s="12" t="n">
        <v>1000000</v>
      </c>
      <c r="D215" s="26" t="s">
        <v>213</v>
      </c>
      <c r="E215" s="26" t="s">
        <v>76</v>
      </c>
      <c r="F215" s="12" t="n">
        <v>1000</v>
      </c>
      <c r="G215" s="26" t="n">
        <v>1</v>
      </c>
      <c r="H215" s="22" t="n">
        <v>0.753505000034238</v>
      </c>
    </row>
    <row r="216" customFormat="false" ht="15" hidden="false" customHeight="false" outlineLevel="0" collapsed="false">
      <c r="A216" s="26" t="n">
        <v>2</v>
      </c>
      <c r="B216" s="26" t="s">
        <v>228</v>
      </c>
      <c r="C216" s="12" t="n">
        <v>1000000</v>
      </c>
      <c r="D216" s="26" t="s">
        <v>213</v>
      </c>
      <c r="E216" s="26" t="s">
        <v>76</v>
      </c>
      <c r="F216" s="12" t="n">
        <v>1000</v>
      </c>
      <c r="G216" s="26" t="n">
        <v>2</v>
      </c>
      <c r="H216" s="22" t="n">
        <v>0.646958999936942</v>
      </c>
    </row>
    <row r="217" customFormat="false" ht="15" hidden="false" customHeight="false" outlineLevel="0" collapsed="false">
      <c r="A217" s="26" t="n">
        <v>2</v>
      </c>
      <c r="B217" s="26" t="s">
        <v>228</v>
      </c>
      <c r="C217" s="12" t="n">
        <v>1000000</v>
      </c>
      <c r="D217" s="26" t="s">
        <v>213</v>
      </c>
      <c r="E217" s="26" t="s">
        <v>76</v>
      </c>
      <c r="F217" s="12" t="n">
        <v>1000</v>
      </c>
      <c r="G217" s="26" t="n">
        <v>3</v>
      </c>
      <c r="H217" s="22" t="n">
        <v>0.660939999988841</v>
      </c>
    </row>
    <row r="218" customFormat="false" ht="15" hidden="false" customHeight="false" outlineLevel="0" collapsed="false">
      <c r="A218" s="26" t="n">
        <v>2</v>
      </c>
      <c r="B218" s="26" t="s">
        <v>228</v>
      </c>
      <c r="C218" s="12" t="n">
        <v>1000000</v>
      </c>
      <c r="D218" s="26" t="s">
        <v>213</v>
      </c>
      <c r="E218" s="26" t="s">
        <v>76</v>
      </c>
      <c r="F218" s="12" t="n">
        <v>1000</v>
      </c>
      <c r="G218" s="26" t="n">
        <v>4</v>
      </c>
      <c r="H218" s="22" t="n">
        <v>0.66279800000757</v>
      </c>
    </row>
    <row r="219" customFormat="false" ht="15" hidden="false" customHeight="false" outlineLevel="0" collapsed="false">
      <c r="A219" s="26" t="n">
        <v>2</v>
      </c>
      <c r="B219" s="26" t="s">
        <v>228</v>
      </c>
      <c r="C219" s="12" t="n">
        <v>1000000</v>
      </c>
      <c r="D219" s="26" t="s">
        <v>213</v>
      </c>
      <c r="E219" s="26" t="s">
        <v>76</v>
      </c>
      <c r="F219" s="12" t="n">
        <v>1000</v>
      </c>
      <c r="G219" s="26" t="n">
        <v>5</v>
      </c>
      <c r="H219" s="22" t="n">
        <v>0.64172800000506</v>
      </c>
    </row>
    <row r="220" customFormat="false" ht="15" hidden="false" customHeight="false" outlineLevel="0" collapsed="false">
      <c r="A220" s="26" t="n">
        <v>2</v>
      </c>
      <c r="B220" s="26" t="s">
        <v>228</v>
      </c>
      <c r="C220" s="12" t="n">
        <v>1000000</v>
      </c>
      <c r="D220" s="26" t="s">
        <v>213</v>
      </c>
      <c r="E220" s="26" t="s">
        <v>77</v>
      </c>
      <c r="F220" s="12" t="n">
        <v>1000</v>
      </c>
      <c r="G220" s="26" t="n">
        <v>1</v>
      </c>
      <c r="H220" s="22" t="n">
        <v>1.5609490000088</v>
      </c>
    </row>
    <row r="221" customFormat="false" ht="15" hidden="false" customHeight="false" outlineLevel="0" collapsed="false">
      <c r="A221" s="26" t="n">
        <v>2</v>
      </c>
      <c r="B221" s="26" t="s">
        <v>228</v>
      </c>
      <c r="C221" s="12" t="n">
        <v>1000000</v>
      </c>
      <c r="D221" s="26" t="s">
        <v>213</v>
      </c>
      <c r="E221" s="26" t="s">
        <v>77</v>
      </c>
      <c r="F221" s="12" t="n">
        <v>1000</v>
      </c>
      <c r="G221" s="26" t="n">
        <v>2</v>
      </c>
      <c r="H221" s="22" t="n">
        <v>1.4497360000405</v>
      </c>
    </row>
    <row r="222" customFormat="false" ht="15" hidden="false" customHeight="false" outlineLevel="0" collapsed="false">
      <c r="A222" s="26" t="n">
        <v>2</v>
      </c>
      <c r="B222" s="26" t="s">
        <v>228</v>
      </c>
      <c r="C222" s="12" t="n">
        <v>1000000</v>
      </c>
      <c r="D222" s="26" t="s">
        <v>213</v>
      </c>
      <c r="E222" s="26" t="s">
        <v>77</v>
      </c>
      <c r="F222" s="12" t="n">
        <v>1000</v>
      </c>
      <c r="G222" s="26" t="n">
        <v>3</v>
      </c>
      <c r="H222" s="22" t="n">
        <v>1.52889599996797</v>
      </c>
    </row>
    <row r="223" customFormat="false" ht="15" hidden="false" customHeight="false" outlineLevel="0" collapsed="false">
      <c r="A223" s="26" t="n">
        <v>2</v>
      </c>
      <c r="B223" s="26" t="s">
        <v>228</v>
      </c>
      <c r="C223" s="12" t="n">
        <v>1000000</v>
      </c>
      <c r="D223" s="26" t="s">
        <v>213</v>
      </c>
      <c r="E223" s="26" t="s">
        <v>77</v>
      </c>
      <c r="F223" s="12" t="n">
        <v>1000</v>
      </c>
      <c r="G223" s="26" t="n">
        <v>4</v>
      </c>
      <c r="H223" s="22" t="n">
        <v>1.39333000004172</v>
      </c>
    </row>
    <row r="224" customFormat="false" ht="15" hidden="false" customHeight="false" outlineLevel="0" collapsed="false">
      <c r="A224" s="26" t="n">
        <v>2</v>
      </c>
      <c r="B224" s="26" t="s">
        <v>228</v>
      </c>
      <c r="C224" s="12" t="n">
        <v>1000000</v>
      </c>
      <c r="D224" s="26" t="s">
        <v>213</v>
      </c>
      <c r="E224" s="26" t="s">
        <v>77</v>
      </c>
      <c r="F224" s="12" t="n">
        <v>1000</v>
      </c>
      <c r="G224" s="26" t="n">
        <v>5</v>
      </c>
      <c r="H224" s="22" t="n">
        <v>1.50289300006534</v>
      </c>
    </row>
    <row r="225" customFormat="false" ht="15" hidden="false" customHeight="false" outlineLevel="0" collapsed="false">
      <c r="A225" s="26" t="n">
        <v>2</v>
      </c>
      <c r="B225" s="26" t="s">
        <v>228</v>
      </c>
      <c r="C225" s="12" t="n">
        <v>1000000</v>
      </c>
      <c r="D225" s="26" t="s">
        <v>213</v>
      </c>
      <c r="E225" s="26" t="s">
        <v>76</v>
      </c>
      <c r="F225" s="12" t="n">
        <v>10000</v>
      </c>
      <c r="G225" s="26" t="n">
        <v>1</v>
      </c>
      <c r="H225" s="22" t="n">
        <v>0.728109000078803</v>
      </c>
    </row>
    <row r="226" customFormat="false" ht="15" hidden="false" customHeight="false" outlineLevel="0" collapsed="false">
      <c r="A226" s="26" t="n">
        <v>2</v>
      </c>
      <c r="B226" s="26" t="s">
        <v>228</v>
      </c>
      <c r="C226" s="12" t="n">
        <v>1000000</v>
      </c>
      <c r="D226" s="26" t="s">
        <v>213</v>
      </c>
      <c r="E226" s="26" t="s">
        <v>76</v>
      </c>
      <c r="F226" s="12" t="n">
        <v>10000</v>
      </c>
      <c r="G226" s="26" t="n">
        <v>2</v>
      </c>
      <c r="H226" s="22" t="n">
        <v>0.616861000025892</v>
      </c>
    </row>
    <row r="227" customFormat="false" ht="15" hidden="false" customHeight="false" outlineLevel="0" collapsed="false">
      <c r="A227" s="26" t="n">
        <v>2</v>
      </c>
      <c r="B227" s="26" t="s">
        <v>228</v>
      </c>
      <c r="C227" s="12" t="n">
        <v>1000000</v>
      </c>
      <c r="D227" s="26" t="s">
        <v>213</v>
      </c>
      <c r="E227" s="26" t="s">
        <v>76</v>
      </c>
      <c r="F227" s="12" t="n">
        <v>10000</v>
      </c>
      <c r="G227" s="26" t="n">
        <v>3</v>
      </c>
      <c r="H227" s="22" t="n">
        <v>0.682328000038979</v>
      </c>
    </row>
    <row r="228" customFormat="false" ht="15" hidden="false" customHeight="false" outlineLevel="0" collapsed="false">
      <c r="A228" s="26" t="n">
        <v>2</v>
      </c>
      <c r="B228" s="26" t="s">
        <v>228</v>
      </c>
      <c r="C228" s="12" t="n">
        <v>1000000</v>
      </c>
      <c r="D228" s="26" t="s">
        <v>213</v>
      </c>
      <c r="E228" s="26" t="s">
        <v>76</v>
      </c>
      <c r="F228" s="12" t="n">
        <v>10000</v>
      </c>
      <c r="G228" s="26" t="n">
        <v>4</v>
      </c>
      <c r="H228" s="22" t="n">
        <v>1.1983209999471</v>
      </c>
    </row>
    <row r="229" customFormat="false" ht="15" hidden="false" customHeight="false" outlineLevel="0" collapsed="false">
      <c r="A229" s="26" t="n">
        <v>2</v>
      </c>
      <c r="B229" s="26" t="s">
        <v>228</v>
      </c>
      <c r="C229" s="12" t="n">
        <v>1000000</v>
      </c>
      <c r="D229" s="26" t="s">
        <v>213</v>
      </c>
      <c r="E229" s="26" t="s">
        <v>76</v>
      </c>
      <c r="F229" s="12" t="n">
        <v>10000</v>
      </c>
      <c r="G229" s="26" t="n">
        <v>5</v>
      </c>
      <c r="H229" s="22" t="n">
        <v>0.694593999924109</v>
      </c>
    </row>
    <row r="230" customFormat="false" ht="15" hidden="false" customHeight="false" outlineLevel="0" collapsed="false">
      <c r="A230" s="26" t="n">
        <v>2</v>
      </c>
      <c r="B230" s="26" t="s">
        <v>228</v>
      </c>
      <c r="C230" s="12" t="n">
        <v>1000000</v>
      </c>
      <c r="D230" s="26" t="s">
        <v>213</v>
      </c>
      <c r="E230" s="26" t="s">
        <v>77</v>
      </c>
      <c r="F230" s="12" t="n">
        <v>10000</v>
      </c>
      <c r="G230" s="26" t="n">
        <v>1</v>
      </c>
      <c r="H230" s="22" t="n">
        <v>8.57883999992737</v>
      </c>
    </row>
    <row r="231" customFormat="false" ht="15" hidden="false" customHeight="false" outlineLevel="0" collapsed="false">
      <c r="A231" s="26" t="n">
        <v>2</v>
      </c>
      <c r="B231" s="26" t="s">
        <v>228</v>
      </c>
      <c r="C231" s="12" t="n">
        <v>1000000</v>
      </c>
      <c r="D231" s="26" t="s">
        <v>213</v>
      </c>
      <c r="E231" s="26" t="s">
        <v>77</v>
      </c>
      <c r="F231" s="12" t="n">
        <v>10000</v>
      </c>
      <c r="G231" s="26" t="n">
        <v>2</v>
      </c>
      <c r="H231" s="22" t="n">
        <v>8.08492100009062</v>
      </c>
    </row>
    <row r="232" customFormat="false" ht="15" hidden="false" customHeight="false" outlineLevel="0" collapsed="false">
      <c r="A232" s="26" t="n">
        <v>2</v>
      </c>
      <c r="B232" s="26" t="s">
        <v>228</v>
      </c>
      <c r="C232" s="12" t="n">
        <v>1000000</v>
      </c>
      <c r="D232" s="26" t="s">
        <v>213</v>
      </c>
      <c r="E232" s="26" t="s">
        <v>77</v>
      </c>
      <c r="F232" s="12" t="n">
        <v>10000</v>
      </c>
      <c r="G232" s="26" t="n">
        <v>3</v>
      </c>
      <c r="H232" s="22" t="n">
        <v>8.78575199999432</v>
      </c>
    </row>
    <row r="233" customFormat="false" ht="15" hidden="false" customHeight="false" outlineLevel="0" collapsed="false">
      <c r="A233" s="26" t="n">
        <v>2</v>
      </c>
      <c r="B233" s="26" t="s">
        <v>228</v>
      </c>
      <c r="C233" s="12" t="n">
        <v>1000000</v>
      </c>
      <c r="D233" s="26" t="s">
        <v>213</v>
      </c>
      <c r="E233" s="26" t="s">
        <v>77</v>
      </c>
      <c r="F233" s="12" t="n">
        <v>10000</v>
      </c>
      <c r="G233" s="26" t="n">
        <v>4</v>
      </c>
      <c r="H233" s="22" t="n">
        <v>8.2719750000706</v>
      </c>
    </row>
    <row r="234" customFormat="false" ht="15" hidden="false" customHeight="false" outlineLevel="0" collapsed="false">
      <c r="A234" s="26" t="n">
        <v>2</v>
      </c>
      <c r="B234" s="26" t="s">
        <v>228</v>
      </c>
      <c r="C234" s="12" t="n">
        <v>1000000</v>
      </c>
      <c r="D234" s="26" t="s">
        <v>213</v>
      </c>
      <c r="E234" s="26" t="s">
        <v>77</v>
      </c>
      <c r="F234" s="12" t="n">
        <v>10000</v>
      </c>
      <c r="G234" s="26" t="n">
        <v>5</v>
      </c>
      <c r="H234" s="22" t="n">
        <v>8.24232399997982</v>
      </c>
    </row>
    <row r="235" customFormat="false" ht="15" hidden="false" customHeight="false" outlineLevel="0" collapsed="false">
      <c r="A235" s="26" t="n">
        <v>2</v>
      </c>
      <c r="B235" s="26" t="s">
        <v>228</v>
      </c>
      <c r="C235" s="12" t="n">
        <v>1000000</v>
      </c>
      <c r="D235" s="26" t="s">
        <v>213</v>
      </c>
      <c r="E235" s="26" t="s">
        <v>76</v>
      </c>
      <c r="F235" s="12" t="n">
        <v>100000</v>
      </c>
      <c r="G235" s="26" t="n">
        <v>1</v>
      </c>
      <c r="H235" s="22" t="n">
        <v>1.04333299998416</v>
      </c>
    </row>
    <row r="236" customFormat="false" ht="15" hidden="false" customHeight="false" outlineLevel="0" collapsed="false">
      <c r="A236" s="26" t="n">
        <v>2</v>
      </c>
      <c r="B236" s="26" t="s">
        <v>228</v>
      </c>
      <c r="C236" s="12" t="n">
        <v>1000000</v>
      </c>
      <c r="D236" s="26" t="s">
        <v>213</v>
      </c>
      <c r="E236" s="26" t="s">
        <v>76</v>
      </c>
      <c r="F236" s="12" t="n">
        <v>100000</v>
      </c>
      <c r="G236" s="26" t="n">
        <v>2</v>
      </c>
      <c r="H236" s="22" t="n">
        <v>0.777514999981577</v>
      </c>
    </row>
    <row r="237" customFormat="false" ht="15" hidden="false" customHeight="false" outlineLevel="0" collapsed="false">
      <c r="A237" s="26" t="n">
        <v>2</v>
      </c>
      <c r="B237" s="26" t="s">
        <v>228</v>
      </c>
      <c r="C237" s="12" t="n">
        <v>1000000</v>
      </c>
      <c r="D237" s="26" t="s">
        <v>213</v>
      </c>
      <c r="E237" s="26" t="s">
        <v>76</v>
      </c>
      <c r="F237" s="12" t="n">
        <v>100000</v>
      </c>
      <c r="G237" s="26" t="n">
        <v>3</v>
      </c>
      <c r="H237" s="22" t="n">
        <v>0.702767000007043</v>
      </c>
    </row>
    <row r="238" customFormat="false" ht="15" hidden="false" customHeight="false" outlineLevel="0" collapsed="false">
      <c r="A238" s="26" t="n">
        <v>2</v>
      </c>
      <c r="B238" s="26" t="s">
        <v>228</v>
      </c>
      <c r="C238" s="12" t="n">
        <v>1000000</v>
      </c>
      <c r="D238" s="26" t="s">
        <v>213</v>
      </c>
      <c r="E238" s="26" t="s">
        <v>76</v>
      </c>
      <c r="F238" s="12" t="n">
        <v>100000</v>
      </c>
      <c r="G238" s="26" t="n">
        <v>4</v>
      </c>
      <c r="H238" s="22" t="n">
        <v>0.6782259999909</v>
      </c>
    </row>
    <row r="239" customFormat="false" ht="15" hidden="false" customHeight="false" outlineLevel="0" collapsed="false">
      <c r="A239" s="26" t="n">
        <v>2</v>
      </c>
      <c r="B239" s="26" t="s">
        <v>228</v>
      </c>
      <c r="C239" s="12" t="n">
        <v>1000000</v>
      </c>
      <c r="D239" s="26" t="s">
        <v>213</v>
      </c>
      <c r="E239" s="26" t="s">
        <v>76</v>
      </c>
      <c r="F239" s="12" t="n">
        <v>100000</v>
      </c>
      <c r="G239" s="26" t="n">
        <v>5</v>
      </c>
      <c r="H239" s="22" t="n">
        <v>0.658527000041431</v>
      </c>
    </row>
    <row r="240" customFormat="false" ht="15" hidden="false" customHeight="false" outlineLevel="0" collapsed="false">
      <c r="A240" s="26" t="n">
        <v>2</v>
      </c>
      <c r="B240" s="26" t="s">
        <v>228</v>
      </c>
      <c r="C240" s="12" t="n">
        <v>1000000</v>
      </c>
      <c r="D240" s="26" t="s">
        <v>213</v>
      </c>
      <c r="E240" s="26" t="s">
        <v>77</v>
      </c>
      <c r="F240" s="12" t="n">
        <v>100000</v>
      </c>
      <c r="G240" s="26" t="n">
        <v>1</v>
      </c>
      <c r="H240" s="22" t="n">
        <v>92.2193729999208</v>
      </c>
    </row>
    <row r="241" customFormat="false" ht="15" hidden="false" customHeight="false" outlineLevel="0" collapsed="false">
      <c r="A241" s="26" t="n">
        <v>2</v>
      </c>
      <c r="B241" s="26" t="s">
        <v>228</v>
      </c>
      <c r="C241" s="12" t="n">
        <v>1000000</v>
      </c>
      <c r="D241" s="26" t="s">
        <v>213</v>
      </c>
      <c r="E241" s="26" t="s">
        <v>77</v>
      </c>
      <c r="F241" s="12" t="n">
        <v>100000</v>
      </c>
      <c r="G241" s="26" t="n">
        <v>2</v>
      </c>
      <c r="H241" s="22" t="n">
        <v>96.3245210000423</v>
      </c>
    </row>
    <row r="242" customFormat="false" ht="15" hidden="false" customHeight="false" outlineLevel="0" collapsed="false">
      <c r="A242" s="26" t="n">
        <v>2</v>
      </c>
      <c r="B242" s="26" t="s">
        <v>228</v>
      </c>
      <c r="C242" s="12" t="n">
        <v>1000000</v>
      </c>
      <c r="D242" s="26" t="s">
        <v>213</v>
      </c>
      <c r="E242" s="26" t="s">
        <v>77</v>
      </c>
      <c r="F242" s="12" t="n">
        <v>100000</v>
      </c>
      <c r="G242" s="26" t="n">
        <v>3</v>
      </c>
      <c r="H242" s="22" t="n">
        <v>97.0058149999886</v>
      </c>
    </row>
    <row r="243" customFormat="false" ht="15" hidden="false" customHeight="false" outlineLevel="0" collapsed="false">
      <c r="A243" s="26" t="n">
        <v>2</v>
      </c>
      <c r="B243" s="26" t="s">
        <v>228</v>
      </c>
      <c r="C243" s="12" t="n">
        <v>1000000</v>
      </c>
      <c r="D243" s="26" t="s">
        <v>213</v>
      </c>
      <c r="E243" s="26" t="s">
        <v>77</v>
      </c>
      <c r="F243" s="12" t="n">
        <v>100000</v>
      </c>
      <c r="G243" s="26" t="n">
        <v>4</v>
      </c>
      <c r="H243" s="22" t="n">
        <v>77.4544050000259</v>
      </c>
    </row>
    <row r="244" customFormat="false" ht="15" hidden="false" customHeight="false" outlineLevel="0" collapsed="false">
      <c r="A244" s="26" t="n">
        <v>2</v>
      </c>
      <c r="B244" s="26" t="s">
        <v>228</v>
      </c>
      <c r="C244" s="12" t="n">
        <v>1000000</v>
      </c>
      <c r="D244" s="26" t="s">
        <v>213</v>
      </c>
      <c r="E244" s="26" t="s">
        <v>77</v>
      </c>
      <c r="F244" s="12" t="n">
        <v>100000</v>
      </c>
      <c r="G244" s="26" t="n">
        <v>5</v>
      </c>
      <c r="H244" s="22" t="n">
        <v>77.4238090000381</v>
      </c>
    </row>
    <row r="245" customFormat="false" ht="15" hidden="false" customHeight="false" outlineLevel="0" collapsed="false">
      <c r="A245" s="26" t="n">
        <v>2</v>
      </c>
      <c r="B245" s="26" t="s">
        <v>228</v>
      </c>
      <c r="C245" s="12" t="n">
        <v>1000000</v>
      </c>
      <c r="D245" s="26" t="s">
        <v>213</v>
      </c>
      <c r="E245" s="26" t="s">
        <v>76</v>
      </c>
      <c r="F245" s="12" t="n">
        <v>1000000</v>
      </c>
      <c r="G245" s="26" t="n">
        <v>1</v>
      </c>
      <c r="H245" s="22" t="n">
        <v>0.691519000042717</v>
      </c>
    </row>
    <row r="246" customFormat="false" ht="15" hidden="false" customHeight="false" outlineLevel="0" collapsed="false">
      <c r="A246" s="26" t="n">
        <v>2</v>
      </c>
      <c r="B246" s="26" t="s">
        <v>228</v>
      </c>
      <c r="C246" s="12" t="n">
        <v>1000000</v>
      </c>
      <c r="D246" s="26" t="s">
        <v>213</v>
      </c>
      <c r="E246" s="26" t="s">
        <v>76</v>
      </c>
      <c r="F246" s="12" t="n">
        <v>1000000</v>
      </c>
      <c r="G246" s="26" t="n">
        <v>2</v>
      </c>
      <c r="H246" s="22" t="n">
        <v>0.656511999977738</v>
      </c>
    </row>
    <row r="247" customFormat="false" ht="15" hidden="false" customHeight="false" outlineLevel="0" collapsed="false">
      <c r="A247" s="26" t="n">
        <v>2</v>
      </c>
      <c r="B247" s="26" t="s">
        <v>228</v>
      </c>
      <c r="C247" s="12" t="n">
        <v>1000000</v>
      </c>
      <c r="D247" s="26" t="s">
        <v>213</v>
      </c>
      <c r="E247" s="26" t="s">
        <v>76</v>
      </c>
      <c r="F247" s="12" t="n">
        <v>1000000</v>
      </c>
      <c r="G247" s="26" t="n">
        <v>3</v>
      </c>
      <c r="H247" s="22" t="n">
        <v>0.651790999995683</v>
      </c>
    </row>
    <row r="248" customFormat="false" ht="15" hidden="false" customHeight="false" outlineLevel="0" collapsed="false">
      <c r="A248" s="26" t="n">
        <v>2</v>
      </c>
      <c r="B248" s="26" t="s">
        <v>228</v>
      </c>
      <c r="C248" s="12" t="n">
        <v>1000000</v>
      </c>
      <c r="D248" s="26" t="s">
        <v>213</v>
      </c>
      <c r="E248" s="26" t="s">
        <v>76</v>
      </c>
      <c r="F248" s="12" t="n">
        <v>1000000</v>
      </c>
      <c r="G248" s="26" t="n">
        <v>4</v>
      </c>
      <c r="H248" s="22" t="n">
        <v>0.789069999996173</v>
      </c>
    </row>
    <row r="249" customFormat="false" ht="15" hidden="false" customHeight="false" outlineLevel="0" collapsed="false">
      <c r="A249" s="26" t="n">
        <v>2</v>
      </c>
      <c r="B249" s="26" t="s">
        <v>228</v>
      </c>
      <c r="C249" s="12" t="n">
        <v>1000000</v>
      </c>
      <c r="D249" s="26" t="s">
        <v>213</v>
      </c>
      <c r="E249" s="26" t="s">
        <v>76</v>
      </c>
      <c r="F249" s="12" t="n">
        <v>1000000</v>
      </c>
      <c r="G249" s="26" t="n">
        <v>5</v>
      </c>
      <c r="H249" s="22" t="n">
        <v>0.733077000063531</v>
      </c>
    </row>
    <row r="250" customFormat="false" ht="15" hidden="false" customHeight="false" outlineLevel="0" collapsed="false">
      <c r="A250" s="26" t="n">
        <v>2</v>
      </c>
      <c r="B250" s="26" t="s">
        <v>228</v>
      </c>
      <c r="C250" s="12" t="n">
        <v>1000000</v>
      </c>
      <c r="D250" s="26" t="s">
        <v>213</v>
      </c>
      <c r="E250" s="26" t="s">
        <v>77</v>
      </c>
      <c r="F250" s="12" t="n">
        <v>1000000</v>
      </c>
      <c r="G250" s="26" t="n">
        <v>1</v>
      </c>
      <c r="H250" s="22" t="n">
        <v>996.627543999921</v>
      </c>
    </row>
    <row r="251" customFormat="false" ht="15" hidden="false" customHeight="false" outlineLevel="0" collapsed="false">
      <c r="A251" s="26" t="n">
        <v>2</v>
      </c>
      <c r="B251" s="26" t="s">
        <v>228</v>
      </c>
      <c r="C251" s="12" t="n">
        <v>1000000</v>
      </c>
      <c r="D251" s="26" t="s">
        <v>213</v>
      </c>
      <c r="E251" s="26" t="s">
        <v>77</v>
      </c>
      <c r="F251" s="12" t="n">
        <v>1000000</v>
      </c>
      <c r="G251" s="26" t="n">
        <v>2</v>
      </c>
      <c r="H251" s="22" t="n">
        <v>939.950497000041</v>
      </c>
    </row>
    <row r="252" customFormat="false" ht="15" hidden="false" customHeight="false" outlineLevel="0" collapsed="false">
      <c r="A252" s="26" t="n">
        <v>2</v>
      </c>
      <c r="B252" s="26" t="s">
        <v>228</v>
      </c>
      <c r="C252" s="12" t="n">
        <v>1000000</v>
      </c>
      <c r="D252" s="26" t="s">
        <v>213</v>
      </c>
      <c r="E252" s="26" t="s">
        <v>77</v>
      </c>
      <c r="F252" s="12" t="n">
        <v>1000000</v>
      </c>
      <c r="G252" s="26" t="n">
        <v>3</v>
      </c>
      <c r="H252" s="22" t="n">
        <v>1563.10702500002</v>
      </c>
    </row>
    <row r="253" customFormat="false" ht="15" hidden="false" customHeight="false" outlineLevel="0" collapsed="false">
      <c r="A253" s="26" t="n">
        <v>2</v>
      </c>
      <c r="B253" s="26" t="s">
        <v>228</v>
      </c>
      <c r="C253" s="12" t="n">
        <v>1000000</v>
      </c>
      <c r="D253" s="26" t="s">
        <v>213</v>
      </c>
      <c r="E253" s="26" t="s">
        <v>77</v>
      </c>
      <c r="F253" s="12" t="n">
        <v>1000000</v>
      </c>
      <c r="G253" s="26" t="n">
        <v>4</v>
      </c>
      <c r="H253" s="22" t="n">
        <v>1111.97627199999</v>
      </c>
    </row>
    <row r="254" customFormat="false" ht="15" hidden="false" customHeight="false" outlineLevel="0" collapsed="false">
      <c r="A254" s="26" t="n">
        <v>2</v>
      </c>
      <c r="B254" s="26" t="s">
        <v>228</v>
      </c>
      <c r="C254" s="12" t="n">
        <v>1000000</v>
      </c>
      <c r="D254" s="26" t="s">
        <v>213</v>
      </c>
      <c r="E254" s="26" t="s">
        <v>77</v>
      </c>
      <c r="F254" s="12" t="n">
        <v>1000000</v>
      </c>
      <c r="G254" s="26" t="n">
        <v>5</v>
      </c>
      <c r="H254" s="22" t="n">
        <v>1038.87952499997</v>
      </c>
    </row>
    <row r="255" customFormat="false" ht="15" hidden="false" customHeight="false" outlineLevel="0" collapsed="false">
      <c r="A255" s="26" t="n">
        <v>3</v>
      </c>
      <c r="B255" s="26" t="s">
        <v>228</v>
      </c>
      <c r="C255" s="12" t="n">
        <v>1000000</v>
      </c>
      <c r="D255" s="26" t="s">
        <v>213</v>
      </c>
      <c r="E255" s="26" t="s">
        <v>76</v>
      </c>
      <c r="F255" s="12" t="n">
        <v>10</v>
      </c>
      <c r="G255" s="26" t="n">
        <v>1</v>
      </c>
      <c r="H255" s="22" t="n">
        <v>1.97864899996603</v>
      </c>
    </row>
    <row r="256" customFormat="false" ht="15" hidden="false" customHeight="false" outlineLevel="0" collapsed="false">
      <c r="A256" s="26" t="n">
        <v>3</v>
      </c>
      <c r="B256" s="26" t="s">
        <v>228</v>
      </c>
      <c r="C256" s="12" t="n">
        <v>1000000</v>
      </c>
      <c r="D256" s="26" t="s">
        <v>213</v>
      </c>
      <c r="E256" s="26" t="s">
        <v>76</v>
      </c>
      <c r="F256" s="12" t="n">
        <v>10</v>
      </c>
      <c r="G256" s="26" t="n">
        <v>2</v>
      </c>
      <c r="H256" s="22" t="n">
        <v>0.773009999988972</v>
      </c>
    </row>
    <row r="257" customFormat="false" ht="15" hidden="false" customHeight="false" outlineLevel="0" collapsed="false">
      <c r="A257" s="26" t="n">
        <v>3</v>
      </c>
      <c r="B257" s="26" t="s">
        <v>228</v>
      </c>
      <c r="C257" s="12" t="n">
        <v>1000000</v>
      </c>
      <c r="D257" s="26" t="s">
        <v>213</v>
      </c>
      <c r="E257" s="26" t="s">
        <v>76</v>
      </c>
      <c r="F257" s="12" t="n">
        <v>10</v>
      </c>
      <c r="G257" s="26" t="n">
        <v>3</v>
      </c>
      <c r="H257" s="22" t="n">
        <v>1.05882299999394</v>
      </c>
    </row>
    <row r="258" customFormat="false" ht="15" hidden="false" customHeight="false" outlineLevel="0" collapsed="false">
      <c r="A258" s="26" t="n">
        <v>3</v>
      </c>
      <c r="B258" s="26" t="s">
        <v>228</v>
      </c>
      <c r="C258" s="12" t="n">
        <v>1000000</v>
      </c>
      <c r="D258" s="26" t="s">
        <v>213</v>
      </c>
      <c r="E258" s="26" t="s">
        <v>76</v>
      </c>
      <c r="F258" s="12" t="n">
        <v>10</v>
      </c>
      <c r="G258" s="26" t="n">
        <v>4</v>
      </c>
      <c r="H258" s="22" t="n">
        <v>1.00578500007487</v>
      </c>
    </row>
    <row r="259" customFormat="false" ht="15" hidden="false" customHeight="false" outlineLevel="0" collapsed="false">
      <c r="A259" s="26" t="n">
        <v>3</v>
      </c>
      <c r="B259" s="26" t="s">
        <v>228</v>
      </c>
      <c r="C259" s="12" t="n">
        <v>1000000</v>
      </c>
      <c r="D259" s="26" t="s">
        <v>213</v>
      </c>
      <c r="E259" s="26" t="s">
        <v>76</v>
      </c>
      <c r="F259" s="12" t="n">
        <v>10</v>
      </c>
      <c r="G259" s="26" t="n">
        <v>5</v>
      </c>
      <c r="H259" s="22" t="n">
        <v>1.15217000006851</v>
      </c>
    </row>
    <row r="260" customFormat="false" ht="15" hidden="false" customHeight="false" outlineLevel="0" collapsed="false">
      <c r="A260" s="26" t="n">
        <v>3</v>
      </c>
      <c r="B260" s="26" t="s">
        <v>228</v>
      </c>
      <c r="C260" s="12" t="n">
        <v>1000000</v>
      </c>
      <c r="D260" s="26" t="s">
        <v>213</v>
      </c>
      <c r="E260" s="26" t="s">
        <v>77</v>
      </c>
      <c r="F260" s="12" t="n">
        <v>10</v>
      </c>
      <c r="G260" s="26" t="n">
        <v>1</v>
      </c>
      <c r="H260" s="22" t="n">
        <v>0.877394999974968</v>
      </c>
    </row>
    <row r="261" customFormat="false" ht="15" hidden="false" customHeight="false" outlineLevel="0" collapsed="false">
      <c r="A261" s="26" t="n">
        <v>3</v>
      </c>
      <c r="B261" s="26" t="s">
        <v>228</v>
      </c>
      <c r="C261" s="12" t="n">
        <v>1000000</v>
      </c>
      <c r="D261" s="26" t="s">
        <v>213</v>
      </c>
      <c r="E261" s="26" t="s">
        <v>77</v>
      </c>
      <c r="F261" s="12" t="n">
        <v>10</v>
      </c>
      <c r="G261" s="26" t="n">
        <v>2</v>
      </c>
      <c r="H261" s="22" t="n">
        <v>1.19609099999707</v>
      </c>
    </row>
    <row r="262" customFormat="false" ht="15" hidden="false" customHeight="false" outlineLevel="0" collapsed="false">
      <c r="A262" s="26" t="n">
        <v>3</v>
      </c>
      <c r="B262" s="26" t="s">
        <v>228</v>
      </c>
      <c r="C262" s="12" t="n">
        <v>1000000</v>
      </c>
      <c r="D262" s="26" t="s">
        <v>213</v>
      </c>
      <c r="E262" s="26" t="s">
        <v>77</v>
      </c>
      <c r="F262" s="12" t="n">
        <v>10</v>
      </c>
      <c r="G262" s="26" t="n">
        <v>3</v>
      </c>
      <c r="H262" s="22" t="n">
        <v>4.04990100003033</v>
      </c>
    </row>
    <row r="263" customFormat="false" ht="15" hidden="false" customHeight="false" outlineLevel="0" collapsed="false">
      <c r="A263" s="26" t="n">
        <v>3</v>
      </c>
      <c r="B263" s="26" t="s">
        <v>228</v>
      </c>
      <c r="C263" s="12" t="n">
        <v>1000000</v>
      </c>
      <c r="D263" s="26" t="s">
        <v>213</v>
      </c>
      <c r="E263" s="26" t="s">
        <v>77</v>
      </c>
      <c r="F263" s="12" t="n">
        <v>10</v>
      </c>
      <c r="G263" s="26" t="n">
        <v>4</v>
      </c>
      <c r="H263" s="22" t="n">
        <v>7.2974060000206</v>
      </c>
    </row>
    <row r="264" customFormat="false" ht="15" hidden="false" customHeight="false" outlineLevel="0" collapsed="false">
      <c r="A264" s="26" t="n">
        <v>3</v>
      </c>
      <c r="B264" s="26" t="s">
        <v>228</v>
      </c>
      <c r="C264" s="12" t="n">
        <v>1000000</v>
      </c>
      <c r="D264" s="26" t="s">
        <v>213</v>
      </c>
      <c r="E264" s="26" t="s">
        <v>77</v>
      </c>
      <c r="F264" s="12" t="n">
        <v>10</v>
      </c>
      <c r="G264" s="26" t="n">
        <v>5</v>
      </c>
      <c r="H264" s="22" t="n">
        <v>1.64497599996594</v>
      </c>
    </row>
    <row r="265" customFormat="false" ht="15" hidden="false" customHeight="false" outlineLevel="0" collapsed="false">
      <c r="A265" s="26" t="n">
        <v>3</v>
      </c>
      <c r="B265" s="26" t="s">
        <v>228</v>
      </c>
      <c r="C265" s="12" t="n">
        <v>1000000</v>
      </c>
      <c r="D265" s="26" t="s">
        <v>213</v>
      </c>
      <c r="E265" s="26" t="s">
        <v>76</v>
      </c>
      <c r="F265" s="12" t="n">
        <v>1000</v>
      </c>
      <c r="G265" s="26" t="n">
        <v>1</v>
      </c>
      <c r="H265" s="22" t="n">
        <v>8.95673600007285</v>
      </c>
    </row>
    <row r="266" customFormat="false" ht="15" hidden="false" customHeight="false" outlineLevel="0" collapsed="false">
      <c r="A266" s="26" t="n">
        <v>3</v>
      </c>
      <c r="B266" s="26" t="s">
        <v>228</v>
      </c>
      <c r="C266" s="12" t="n">
        <v>1000000</v>
      </c>
      <c r="D266" s="26" t="s">
        <v>213</v>
      </c>
      <c r="E266" s="26" t="s">
        <v>76</v>
      </c>
      <c r="F266" s="12" t="n">
        <v>1000</v>
      </c>
      <c r="G266" s="26" t="n">
        <v>2</v>
      </c>
      <c r="H266" s="22" t="n">
        <v>31.8918940000685</v>
      </c>
    </row>
    <row r="267" customFormat="false" ht="15" hidden="false" customHeight="false" outlineLevel="0" collapsed="false">
      <c r="A267" s="26" t="n">
        <v>3</v>
      </c>
      <c r="B267" s="26" t="s">
        <v>228</v>
      </c>
      <c r="C267" s="12" t="n">
        <v>1000000</v>
      </c>
      <c r="D267" s="26" t="s">
        <v>213</v>
      </c>
      <c r="E267" s="26" t="s">
        <v>76</v>
      </c>
      <c r="F267" s="12" t="n">
        <v>1000</v>
      </c>
      <c r="G267" s="26" t="n">
        <v>3</v>
      </c>
      <c r="H267" s="22" t="n">
        <v>1.52206499990371</v>
      </c>
    </row>
    <row r="268" customFormat="false" ht="15" hidden="false" customHeight="false" outlineLevel="0" collapsed="false">
      <c r="A268" s="26" t="n">
        <v>3</v>
      </c>
      <c r="B268" s="26" t="s">
        <v>228</v>
      </c>
      <c r="C268" s="12" t="n">
        <v>1000000</v>
      </c>
      <c r="D268" s="26" t="s">
        <v>213</v>
      </c>
      <c r="E268" s="26" t="s">
        <v>76</v>
      </c>
      <c r="F268" s="12" t="n">
        <v>1000</v>
      </c>
      <c r="G268" s="26" t="n">
        <v>4</v>
      </c>
      <c r="H268" s="22" t="n">
        <v>7.21079900006316</v>
      </c>
    </row>
    <row r="269" customFormat="false" ht="15" hidden="false" customHeight="false" outlineLevel="0" collapsed="false">
      <c r="A269" s="26" t="n">
        <v>3</v>
      </c>
      <c r="B269" s="26" t="s">
        <v>228</v>
      </c>
      <c r="C269" s="12" t="n">
        <v>1000000</v>
      </c>
      <c r="D269" s="26" t="s">
        <v>213</v>
      </c>
      <c r="E269" s="26" t="s">
        <v>76</v>
      </c>
      <c r="F269" s="12" t="n">
        <v>1000</v>
      </c>
      <c r="G269" s="26" t="n">
        <v>5</v>
      </c>
      <c r="H269" s="22" t="n">
        <v>1.72026999996433</v>
      </c>
    </row>
    <row r="270" customFormat="false" ht="15" hidden="false" customHeight="false" outlineLevel="0" collapsed="false">
      <c r="A270" s="26" t="n">
        <v>3</v>
      </c>
      <c r="B270" s="26" t="s">
        <v>228</v>
      </c>
      <c r="C270" s="12" t="n">
        <v>1000000</v>
      </c>
      <c r="D270" s="26" t="s">
        <v>213</v>
      </c>
      <c r="E270" s="26" t="s">
        <v>77</v>
      </c>
      <c r="F270" s="12" t="n">
        <v>1000</v>
      </c>
      <c r="G270" s="26" t="n">
        <v>1</v>
      </c>
      <c r="H270" s="22" t="n">
        <v>10.813866000035</v>
      </c>
    </row>
    <row r="271" customFormat="false" ht="15" hidden="false" customHeight="false" outlineLevel="0" collapsed="false">
      <c r="A271" s="26" t="n">
        <v>3</v>
      </c>
      <c r="B271" s="26" t="s">
        <v>228</v>
      </c>
      <c r="C271" s="12" t="n">
        <v>1000000</v>
      </c>
      <c r="D271" s="26" t="s">
        <v>213</v>
      </c>
      <c r="E271" s="26" t="s">
        <v>77</v>
      </c>
      <c r="F271" s="12" t="n">
        <v>1000</v>
      </c>
      <c r="G271" s="26" t="n">
        <v>2</v>
      </c>
      <c r="H271" s="22" t="n">
        <v>2.31909599995106</v>
      </c>
    </row>
    <row r="272" customFormat="false" ht="15" hidden="false" customHeight="false" outlineLevel="0" collapsed="false">
      <c r="A272" s="26" t="n">
        <v>3</v>
      </c>
      <c r="B272" s="26" t="s">
        <v>228</v>
      </c>
      <c r="C272" s="12" t="n">
        <v>1000000</v>
      </c>
      <c r="D272" s="26" t="s">
        <v>213</v>
      </c>
      <c r="E272" s="26" t="s">
        <v>77</v>
      </c>
      <c r="F272" s="12" t="n">
        <v>1000</v>
      </c>
      <c r="G272" s="26" t="n">
        <v>3</v>
      </c>
      <c r="H272" s="22" t="n">
        <v>2.26463299998159</v>
      </c>
    </row>
    <row r="273" customFormat="false" ht="15" hidden="false" customHeight="false" outlineLevel="0" collapsed="false">
      <c r="A273" s="26" t="n">
        <v>3</v>
      </c>
      <c r="B273" s="26" t="s">
        <v>228</v>
      </c>
      <c r="C273" s="12" t="n">
        <v>1000000</v>
      </c>
      <c r="D273" s="26" t="s">
        <v>213</v>
      </c>
      <c r="E273" s="26" t="s">
        <v>77</v>
      </c>
      <c r="F273" s="12" t="n">
        <v>1000</v>
      </c>
      <c r="G273" s="26" t="n">
        <v>4</v>
      </c>
      <c r="H273" s="22" t="n">
        <v>3.00824400005695</v>
      </c>
    </row>
    <row r="274" customFormat="false" ht="15" hidden="false" customHeight="false" outlineLevel="0" collapsed="false">
      <c r="A274" s="26" t="n">
        <v>3</v>
      </c>
      <c r="B274" s="26" t="s">
        <v>228</v>
      </c>
      <c r="C274" s="12" t="n">
        <v>1000000</v>
      </c>
      <c r="D274" s="26" t="s">
        <v>213</v>
      </c>
      <c r="E274" s="26" t="s">
        <v>77</v>
      </c>
      <c r="F274" s="12" t="n">
        <v>1000</v>
      </c>
      <c r="G274" s="26" t="n">
        <v>5</v>
      </c>
      <c r="H274" s="22" t="n">
        <v>7.48283699999774</v>
      </c>
    </row>
    <row r="275" customFormat="false" ht="15" hidden="false" customHeight="false" outlineLevel="0" collapsed="false">
      <c r="A275" s="26" t="n">
        <v>3</v>
      </c>
      <c r="B275" s="26" t="s">
        <v>228</v>
      </c>
      <c r="C275" s="12" t="n">
        <v>1000000</v>
      </c>
      <c r="D275" s="26" t="s">
        <v>213</v>
      </c>
      <c r="E275" s="26" t="s">
        <v>76</v>
      </c>
      <c r="F275" s="12" t="n">
        <v>10000</v>
      </c>
      <c r="G275" s="26" t="n">
        <v>1</v>
      </c>
      <c r="H275" s="22" t="n">
        <v>0.986440000019684</v>
      </c>
    </row>
    <row r="276" customFormat="false" ht="15" hidden="false" customHeight="false" outlineLevel="0" collapsed="false">
      <c r="A276" s="26" t="n">
        <v>3</v>
      </c>
      <c r="B276" s="26" t="s">
        <v>228</v>
      </c>
      <c r="C276" s="12" t="n">
        <v>1000000</v>
      </c>
      <c r="D276" s="26" t="s">
        <v>213</v>
      </c>
      <c r="E276" s="26" t="s">
        <v>76</v>
      </c>
      <c r="F276" s="12" t="n">
        <v>10000</v>
      </c>
      <c r="G276" s="26" t="n">
        <v>2</v>
      </c>
      <c r="H276" s="22" t="n">
        <v>0.736983000024338</v>
      </c>
    </row>
    <row r="277" customFormat="false" ht="15" hidden="false" customHeight="false" outlineLevel="0" collapsed="false">
      <c r="A277" s="26" t="n">
        <v>3</v>
      </c>
      <c r="B277" s="26" t="s">
        <v>228</v>
      </c>
      <c r="C277" s="12" t="n">
        <v>1000000</v>
      </c>
      <c r="D277" s="26" t="s">
        <v>213</v>
      </c>
      <c r="E277" s="26" t="s">
        <v>76</v>
      </c>
      <c r="F277" s="12" t="n">
        <v>10000</v>
      </c>
      <c r="G277" s="26" t="n">
        <v>3</v>
      </c>
      <c r="H277" s="22" t="n">
        <v>0.734641999997621</v>
      </c>
    </row>
    <row r="278" customFormat="false" ht="15" hidden="false" customHeight="false" outlineLevel="0" collapsed="false">
      <c r="A278" s="26" t="n">
        <v>3</v>
      </c>
      <c r="B278" s="26" t="s">
        <v>228</v>
      </c>
      <c r="C278" s="12" t="n">
        <v>1000000</v>
      </c>
      <c r="D278" s="26" t="s">
        <v>213</v>
      </c>
      <c r="E278" s="26" t="s">
        <v>76</v>
      </c>
      <c r="F278" s="12" t="n">
        <v>10000</v>
      </c>
      <c r="G278" s="26" t="n">
        <v>4</v>
      </c>
      <c r="H278" s="22" t="n">
        <v>1.78268799993475</v>
      </c>
    </row>
    <row r="279" customFormat="false" ht="15" hidden="false" customHeight="false" outlineLevel="0" collapsed="false">
      <c r="A279" s="26" t="n">
        <v>3</v>
      </c>
      <c r="B279" s="26" t="s">
        <v>228</v>
      </c>
      <c r="C279" s="12" t="n">
        <v>1000000</v>
      </c>
      <c r="D279" s="26" t="s">
        <v>213</v>
      </c>
      <c r="E279" s="26" t="s">
        <v>76</v>
      </c>
      <c r="F279" s="12" t="n">
        <v>10000</v>
      </c>
      <c r="G279" s="26" t="n">
        <v>5</v>
      </c>
      <c r="H279" s="22" t="n">
        <v>0.967895000030694</v>
      </c>
    </row>
    <row r="280" customFormat="false" ht="15" hidden="false" customHeight="false" outlineLevel="0" collapsed="false">
      <c r="A280" s="26" t="n">
        <v>3</v>
      </c>
      <c r="B280" s="26" t="s">
        <v>228</v>
      </c>
      <c r="C280" s="12" t="n">
        <v>1000000</v>
      </c>
      <c r="D280" s="26" t="s">
        <v>213</v>
      </c>
      <c r="E280" s="26" t="s">
        <v>77</v>
      </c>
      <c r="F280" s="12" t="n">
        <v>10000</v>
      </c>
      <c r="G280" s="26" t="n">
        <v>1</v>
      </c>
      <c r="H280" s="22" t="n">
        <v>22.5493020000158</v>
      </c>
    </row>
    <row r="281" customFormat="false" ht="15" hidden="false" customHeight="false" outlineLevel="0" collapsed="false">
      <c r="A281" s="26" t="n">
        <v>3</v>
      </c>
      <c r="B281" s="26" t="s">
        <v>228</v>
      </c>
      <c r="C281" s="12" t="n">
        <v>1000000</v>
      </c>
      <c r="D281" s="26" t="s">
        <v>213</v>
      </c>
      <c r="E281" s="26" t="s">
        <v>77</v>
      </c>
      <c r="F281" s="12" t="n">
        <v>10000</v>
      </c>
      <c r="G281" s="26" t="n">
        <v>2</v>
      </c>
      <c r="H281" s="22" t="n">
        <v>13.8796470000671</v>
      </c>
    </row>
    <row r="282" customFormat="false" ht="15" hidden="false" customHeight="false" outlineLevel="0" collapsed="false">
      <c r="A282" s="26" t="n">
        <v>3</v>
      </c>
      <c r="B282" s="26" t="s">
        <v>228</v>
      </c>
      <c r="C282" s="12" t="n">
        <v>1000000</v>
      </c>
      <c r="D282" s="26" t="s">
        <v>213</v>
      </c>
      <c r="E282" s="26" t="s">
        <v>77</v>
      </c>
      <c r="F282" s="12" t="n">
        <v>10000</v>
      </c>
      <c r="G282" s="26" t="n">
        <v>3</v>
      </c>
      <c r="H282" s="22" t="n">
        <v>16.3788730000078</v>
      </c>
    </row>
    <row r="283" customFormat="false" ht="15" hidden="false" customHeight="false" outlineLevel="0" collapsed="false">
      <c r="A283" s="26" t="n">
        <v>3</v>
      </c>
      <c r="B283" s="26" t="s">
        <v>228</v>
      </c>
      <c r="C283" s="12" t="n">
        <v>1000000</v>
      </c>
      <c r="D283" s="26" t="s">
        <v>213</v>
      </c>
      <c r="E283" s="26" t="s">
        <v>77</v>
      </c>
      <c r="F283" s="12" t="n">
        <v>10000</v>
      </c>
      <c r="G283" s="26" t="n">
        <v>4</v>
      </c>
      <c r="H283" s="22" t="n">
        <v>232.362175000048</v>
      </c>
    </row>
    <row r="284" customFormat="false" ht="15" hidden="false" customHeight="false" outlineLevel="0" collapsed="false">
      <c r="A284" s="26" t="n">
        <v>3</v>
      </c>
      <c r="B284" s="26" t="s">
        <v>228</v>
      </c>
      <c r="C284" s="12" t="n">
        <v>1000000</v>
      </c>
      <c r="D284" s="26" t="s">
        <v>213</v>
      </c>
      <c r="E284" s="26" t="s">
        <v>77</v>
      </c>
      <c r="F284" s="12" t="n">
        <v>10000</v>
      </c>
      <c r="G284" s="26" t="n">
        <v>5</v>
      </c>
      <c r="H284" s="22" t="n">
        <v>18.9750250000316</v>
      </c>
    </row>
    <row r="285" customFormat="false" ht="15" hidden="false" customHeight="false" outlineLevel="0" collapsed="false">
      <c r="A285" s="26" t="n">
        <v>3</v>
      </c>
      <c r="B285" s="26" t="s">
        <v>228</v>
      </c>
      <c r="C285" s="12" t="n">
        <v>1000000</v>
      </c>
      <c r="D285" s="26" t="s">
        <v>213</v>
      </c>
      <c r="E285" s="26" t="s">
        <v>76</v>
      </c>
      <c r="F285" s="12" t="n">
        <v>100000</v>
      </c>
      <c r="G285" s="26" t="n">
        <v>1</v>
      </c>
      <c r="H285" s="22" t="n">
        <v>1.34606799997528</v>
      </c>
    </row>
    <row r="286" customFormat="false" ht="15" hidden="false" customHeight="false" outlineLevel="0" collapsed="false">
      <c r="A286" s="26" t="n">
        <v>3</v>
      </c>
      <c r="B286" s="26" t="s">
        <v>228</v>
      </c>
      <c r="C286" s="12" t="n">
        <v>1000000</v>
      </c>
      <c r="D286" s="26" t="s">
        <v>213</v>
      </c>
      <c r="E286" s="26" t="s">
        <v>76</v>
      </c>
      <c r="F286" s="12" t="n">
        <v>100000</v>
      </c>
      <c r="G286" s="26" t="n">
        <v>2</v>
      </c>
      <c r="H286" s="22" t="n">
        <v>17.3939820000442</v>
      </c>
    </row>
    <row r="287" customFormat="false" ht="15" hidden="false" customHeight="false" outlineLevel="0" collapsed="false">
      <c r="A287" s="26" t="n">
        <v>3</v>
      </c>
      <c r="B287" s="26" t="s">
        <v>228</v>
      </c>
      <c r="C287" s="12" t="n">
        <v>1000000</v>
      </c>
      <c r="D287" s="26" t="s">
        <v>213</v>
      </c>
      <c r="E287" s="26" t="s">
        <v>76</v>
      </c>
      <c r="F287" s="12" t="n">
        <v>100000</v>
      </c>
      <c r="G287" s="26" t="n">
        <v>3</v>
      </c>
      <c r="H287" s="22" t="n">
        <v>7.76921800002128</v>
      </c>
    </row>
    <row r="288" customFormat="false" ht="15" hidden="false" customHeight="false" outlineLevel="0" collapsed="false">
      <c r="A288" s="26" t="n">
        <v>3</v>
      </c>
      <c r="B288" s="26" t="s">
        <v>228</v>
      </c>
      <c r="C288" s="12" t="n">
        <v>1000000</v>
      </c>
      <c r="D288" s="26" t="s">
        <v>213</v>
      </c>
      <c r="E288" s="26" t="s">
        <v>76</v>
      </c>
      <c r="F288" s="12" t="n">
        <v>100000</v>
      </c>
      <c r="G288" s="26" t="n">
        <v>4</v>
      </c>
      <c r="H288" s="22" t="n">
        <v>1.52656299997034</v>
      </c>
    </row>
    <row r="289" customFormat="false" ht="15" hidden="false" customHeight="false" outlineLevel="0" collapsed="false">
      <c r="A289" s="26" t="n">
        <v>3</v>
      </c>
      <c r="B289" s="26" t="s">
        <v>228</v>
      </c>
      <c r="C289" s="12" t="n">
        <v>1000000</v>
      </c>
      <c r="D289" s="26" t="s">
        <v>213</v>
      </c>
      <c r="E289" s="26" t="s">
        <v>76</v>
      </c>
      <c r="F289" s="12" t="n">
        <v>100000</v>
      </c>
      <c r="G289" s="26" t="n">
        <v>5</v>
      </c>
      <c r="H289" s="22" t="n">
        <v>13.1819590000077</v>
      </c>
    </row>
    <row r="290" customFormat="false" ht="15" hidden="false" customHeight="false" outlineLevel="0" collapsed="false">
      <c r="A290" s="26" t="n">
        <v>3</v>
      </c>
      <c r="B290" s="26" t="s">
        <v>228</v>
      </c>
      <c r="C290" s="12" t="n">
        <v>1000000</v>
      </c>
      <c r="D290" s="26" t="s">
        <v>213</v>
      </c>
      <c r="E290" s="26" t="s">
        <v>77</v>
      </c>
      <c r="F290" s="12" t="n">
        <v>100000</v>
      </c>
      <c r="G290" s="26" t="n">
        <v>1</v>
      </c>
      <c r="H290" s="22" t="n">
        <v>210.691901000018</v>
      </c>
    </row>
    <row r="291" customFormat="false" ht="15" hidden="false" customHeight="false" outlineLevel="0" collapsed="false">
      <c r="A291" s="26" t="n">
        <v>3</v>
      </c>
      <c r="B291" s="26" t="s">
        <v>228</v>
      </c>
      <c r="C291" s="12" t="n">
        <v>1000000</v>
      </c>
      <c r="D291" s="26" t="s">
        <v>213</v>
      </c>
      <c r="E291" s="26" t="s">
        <v>77</v>
      </c>
      <c r="F291" s="12" t="n">
        <v>100000</v>
      </c>
      <c r="G291" s="26" t="n">
        <v>2</v>
      </c>
      <c r="H291" s="22" t="n">
        <v>90.3927179999755</v>
      </c>
    </row>
    <row r="292" customFormat="false" ht="15" hidden="false" customHeight="false" outlineLevel="0" collapsed="false">
      <c r="A292" s="26" t="n">
        <v>3</v>
      </c>
      <c r="B292" s="26" t="s">
        <v>228</v>
      </c>
      <c r="C292" s="12" t="n">
        <v>1000000</v>
      </c>
      <c r="D292" s="26" t="s">
        <v>213</v>
      </c>
      <c r="E292" s="26" t="s">
        <v>77</v>
      </c>
      <c r="F292" s="12" t="n">
        <v>100000</v>
      </c>
      <c r="G292" s="26" t="n">
        <v>3</v>
      </c>
      <c r="H292" s="22" t="n">
        <v>115.044151999996</v>
      </c>
    </row>
    <row r="293" customFormat="false" ht="15" hidden="false" customHeight="false" outlineLevel="0" collapsed="false">
      <c r="A293" s="26" t="n">
        <v>3</v>
      </c>
      <c r="B293" s="26" t="s">
        <v>228</v>
      </c>
      <c r="C293" s="12" t="n">
        <v>1000000</v>
      </c>
      <c r="D293" s="26" t="s">
        <v>213</v>
      </c>
      <c r="E293" s="26" t="s">
        <v>77</v>
      </c>
      <c r="F293" s="12" t="n">
        <v>100000</v>
      </c>
      <c r="G293" s="26" t="n">
        <v>4</v>
      </c>
      <c r="H293" s="22" t="n">
        <v>97.7774289999616</v>
      </c>
    </row>
    <row r="294" customFormat="false" ht="15" hidden="false" customHeight="false" outlineLevel="0" collapsed="false">
      <c r="A294" s="26" t="n">
        <v>3</v>
      </c>
      <c r="B294" s="26" t="s">
        <v>228</v>
      </c>
      <c r="C294" s="12" t="n">
        <v>1000000</v>
      </c>
      <c r="D294" s="26" t="s">
        <v>213</v>
      </c>
      <c r="E294" s="26" t="s">
        <v>77</v>
      </c>
      <c r="F294" s="12" t="n">
        <v>100000</v>
      </c>
      <c r="G294" s="26" t="n">
        <v>5</v>
      </c>
      <c r="H294" s="22" t="n">
        <v>110.74798900006</v>
      </c>
    </row>
    <row r="295" customFormat="false" ht="15" hidden="false" customHeight="false" outlineLevel="0" collapsed="false">
      <c r="A295" s="26" t="n">
        <v>3</v>
      </c>
      <c r="B295" s="26" t="s">
        <v>228</v>
      </c>
      <c r="C295" s="12" t="n">
        <v>1000000</v>
      </c>
      <c r="D295" s="26" t="s">
        <v>213</v>
      </c>
      <c r="E295" s="26" t="s">
        <v>76</v>
      </c>
      <c r="F295" s="12" t="n">
        <v>1000000</v>
      </c>
      <c r="G295" s="26" t="n">
        <v>1</v>
      </c>
      <c r="H295" s="22" t="n">
        <v>1.44611999996869</v>
      </c>
    </row>
    <row r="296" customFormat="false" ht="15" hidden="false" customHeight="false" outlineLevel="0" collapsed="false">
      <c r="A296" s="26" t="n">
        <v>3</v>
      </c>
      <c r="B296" s="26" t="s">
        <v>228</v>
      </c>
      <c r="C296" s="12" t="n">
        <v>1000000</v>
      </c>
      <c r="D296" s="26" t="s">
        <v>213</v>
      </c>
      <c r="E296" s="26" t="s">
        <v>76</v>
      </c>
      <c r="F296" s="12" t="n">
        <v>1000000</v>
      </c>
      <c r="G296" s="26" t="n">
        <v>2</v>
      </c>
      <c r="H296" s="22" t="n">
        <v>0.897474999987935</v>
      </c>
    </row>
    <row r="297" customFormat="false" ht="15" hidden="false" customHeight="false" outlineLevel="0" collapsed="false">
      <c r="A297" s="26" t="n">
        <v>3</v>
      </c>
      <c r="B297" s="26" t="s">
        <v>228</v>
      </c>
      <c r="C297" s="12" t="n">
        <v>1000000</v>
      </c>
      <c r="D297" s="26" t="s">
        <v>213</v>
      </c>
      <c r="E297" s="26" t="s">
        <v>76</v>
      </c>
      <c r="F297" s="12" t="n">
        <v>1000000</v>
      </c>
      <c r="G297" s="26" t="n">
        <v>3</v>
      </c>
      <c r="H297" s="22" t="n">
        <v>0.855939999951261</v>
      </c>
    </row>
    <row r="298" customFormat="false" ht="15" hidden="false" customHeight="false" outlineLevel="0" collapsed="false">
      <c r="A298" s="26" t="n">
        <v>3</v>
      </c>
      <c r="B298" s="26" t="s">
        <v>228</v>
      </c>
      <c r="C298" s="12" t="n">
        <v>1000000</v>
      </c>
      <c r="D298" s="26" t="s">
        <v>213</v>
      </c>
      <c r="E298" s="26" t="s">
        <v>76</v>
      </c>
      <c r="F298" s="12" t="n">
        <v>1000000</v>
      </c>
      <c r="G298" s="26" t="n">
        <v>4</v>
      </c>
      <c r="H298" s="22" t="n">
        <v>0.920714000017142</v>
      </c>
    </row>
    <row r="299" customFormat="false" ht="15" hidden="false" customHeight="false" outlineLevel="0" collapsed="false">
      <c r="A299" s="26" t="n">
        <v>3</v>
      </c>
      <c r="B299" s="26" t="s">
        <v>228</v>
      </c>
      <c r="C299" s="12" t="n">
        <v>1000000</v>
      </c>
      <c r="D299" s="26" t="s">
        <v>213</v>
      </c>
      <c r="E299" s="26" t="s">
        <v>76</v>
      </c>
      <c r="F299" s="12" t="n">
        <v>1000000</v>
      </c>
      <c r="G299" s="26" t="n">
        <v>5</v>
      </c>
      <c r="H299" s="22" t="n">
        <v>0.704442000028394</v>
      </c>
    </row>
    <row r="300" customFormat="false" ht="15" hidden="false" customHeight="false" outlineLevel="0" collapsed="false">
      <c r="A300" s="26" t="n">
        <v>3</v>
      </c>
      <c r="B300" s="26" t="s">
        <v>228</v>
      </c>
      <c r="C300" s="12" t="n">
        <v>1000000</v>
      </c>
      <c r="D300" s="26" t="s">
        <v>213</v>
      </c>
      <c r="E300" s="26" t="s">
        <v>77</v>
      </c>
      <c r="F300" s="12" t="n">
        <v>1000000</v>
      </c>
      <c r="G300" s="26" t="n">
        <v>1</v>
      </c>
      <c r="H300" s="22" t="n">
        <v>1861.71473800005</v>
      </c>
    </row>
    <row r="301" customFormat="false" ht="15" hidden="false" customHeight="false" outlineLevel="0" collapsed="false">
      <c r="A301" s="26" t="n">
        <v>3</v>
      </c>
      <c r="B301" s="26" t="s">
        <v>228</v>
      </c>
      <c r="C301" s="12" t="n">
        <v>1000000</v>
      </c>
      <c r="D301" s="26" t="s">
        <v>213</v>
      </c>
      <c r="E301" s="26" t="s">
        <v>77</v>
      </c>
      <c r="F301" s="12" t="n">
        <v>1000000</v>
      </c>
      <c r="G301" s="26" t="n">
        <v>2</v>
      </c>
      <c r="H301" s="22" t="n">
        <v>781.698056999971</v>
      </c>
    </row>
    <row r="302" customFormat="false" ht="15" hidden="false" customHeight="false" outlineLevel="0" collapsed="false">
      <c r="A302" s="26" t="n">
        <v>3</v>
      </c>
      <c r="B302" s="26" t="s">
        <v>228</v>
      </c>
      <c r="C302" s="12" t="n">
        <v>1000000</v>
      </c>
      <c r="D302" s="26" t="s">
        <v>213</v>
      </c>
      <c r="E302" s="26" t="s">
        <v>77</v>
      </c>
      <c r="F302" s="12" t="n">
        <v>1000000</v>
      </c>
      <c r="G302" s="26" t="n">
        <v>3</v>
      </c>
      <c r="H302" s="22" t="n">
        <v>788.630450000028</v>
      </c>
    </row>
    <row r="303" customFormat="false" ht="15" hidden="false" customHeight="false" outlineLevel="0" collapsed="false">
      <c r="A303" s="26" t="n">
        <v>3</v>
      </c>
      <c r="B303" s="26" t="s">
        <v>228</v>
      </c>
      <c r="C303" s="12" t="n">
        <v>1000000</v>
      </c>
      <c r="D303" s="26" t="s">
        <v>213</v>
      </c>
      <c r="E303" s="26" t="s">
        <v>77</v>
      </c>
      <c r="F303" s="12" t="n">
        <v>1000000</v>
      </c>
      <c r="G303" s="26" t="n">
        <v>4</v>
      </c>
      <c r="H303" s="22" t="n">
        <v>768.952799999966</v>
      </c>
    </row>
    <row r="304" customFormat="false" ht="15" hidden="false" customHeight="false" outlineLevel="0" collapsed="false">
      <c r="A304" s="26" t="n">
        <v>3</v>
      </c>
      <c r="B304" s="26" t="s">
        <v>228</v>
      </c>
      <c r="C304" s="12" t="n">
        <v>1000000</v>
      </c>
      <c r="D304" s="26" t="s">
        <v>213</v>
      </c>
      <c r="E304" s="26" t="s">
        <v>77</v>
      </c>
      <c r="F304" s="12" t="n">
        <v>1000000</v>
      </c>
      <c r="G304" s="26" t="n">
        <v>5</v>
      </c>
      <c r="H304" s="22" t="n">
        <v>911.391998999989</v>
      </c>
    </row>
    <row r="305" customFormat="false" ht="15" hidden="false" customHeight="false" outlineLevel="0" collapsed="false">
      <c r="A305" s="26" t="n">
        <v>1</v>
      </c>
      <c r="B305" s="26" t="s">
        <v>229</v>
      </c>
      <c r="C305" s="12" t="n">
        <v>1220000</v>
      </c>
      <c r="D305" s="26" t="s">
        <v>208</v>
      </c>
      <c r="E305" s="26" t="s">
        <v>76</v>
      </c>
      <c r="F305" s="12" t="n">
        <v>10</v>
      </c>
      <c r="G305" s="26" t="n">
        <v>1</v>
      </c>
      <c r="H305" s="22" t="n">
        <v>1.26424699999461</v>
      </c>
    </row>
    <row r="306" customFormat="false" ht="15" hidden="false" customHeight="false" outlineLevel="0" collapsed="false">
      <c r="A306" s="26" t="n">
        <v>1</v>
      </c>
      <c r="B306" s="26" t="s">
        <v>229</v>
      </c>
      <c r="C306" s="12" t="n">
        <v>1220000</v>
      </c>
      <c r="D306" s="26" t="s">
        <v>208</v>
      </c>
      <c r="E306" s="26" t="s">
        <v>76</v>
      </c>
      <c r="F306" s="12" t="n">
        <v>10</v>
      </c>
      <c r="G306" s="26" t="n">
        <v>2</v>
      </c>
      <c r="H306" s="22" t="n">
        <v>1.01860500001294</v>
      </c>
    </row>
    <row r="307" customFormat="false" ht="15" hidden="false" customHeight="false" outlineLevel="0" collapsed="false">
      <c r="A307" s="26" t="n">
        <v>1</v>
      </c>
      <c r="B307" s="26" t="s">
        <v>229</v>
      </c>
      <c r="C307" s="12" t="n">
        <v>1220000</v>
      </c>
      <c r="D307" s="26" t="s">
        <v>208</v>
      </c>
      <c r="E307" s="26" t="s">
        <v>76</v>
      </c>
      <c r="F307" s="12" t="n">
        <v>10</v>
      </c>
      <c r="G307" s="26" t="n">
        <v>3</v>
      </c>
      <c r="H307" s="22" t="n">
        <v>0.872276999984933</v>
      </c>
    </row>
    <row r="308" customFormat="false" ht="15" hidden="false" customHeight="false" outlineLevel="0" collapsed="false">
      <c r="A308" s="26" t="n">
        <v>1</v>
      </c>
      <c r="B308" s="26" t="s">
        <v>229</v>
      </c>
      <c r="C308" s="12" t="n">
        <v>1220000</v>
      </c>
      <c r="D308" s="26" t="s">
        <v>208</v>
      </c>
      <c r="E308" s="26" t="s">
        <v>76</v>
      </c>
      <c r="F308" s="12" t="n">
        <v>10</v>
      </c>
      <c r="G308" s="26" t="n">
        <v>4</v>
      </c>
      <c r="H308" s="22" t="n">
        <v>1.17222399995853</v>
      </c>
    </row>
    <row r="309" customFormat="false" ht="15" hidden="false" customHeight="false" outlineLevel="0" collapsed="false">
      <c r="A309" s="26" t="n">
        <v>1</v>
      </c>
      <c r="B309" s="26" t="s">
        <v>229</v>
      </c>
      <c r="C309" s="12" t="n">
        <v>1220000</v>
      </c>
      <c r="D309" s="26" t="s">
        <v>208</v>
      </c>
      <c r="E309" s="26" t="s">
        <v>76</v>
      </c>
      <c r="F309" s="12" t="n">
        <v>10</v>
      </c>
      <c r="G309" s="26" t="n">
        <v>5</v>
      </c>
      <c r="H309" s="22" t="n">
        <v>1.09366800000998</v>
      </c>
    </row>
    <row r="310" customFormat="false" ht="15" hidden="false" customHeight="false" outlineLevel="0" collapsed="false">
      <c r="A310" s="26" t="n">
        <v>1</v>
      </c>
      <c r="B310" s="26" t="s">
        <v>229</v>
      </c>
      <c r="C310" s="12" t="n">
        <v>1220000</v>
      </c>
      <c r="D310" s="26" t="s">
        <v>208</v>
      </c>
      <c r="E310" s="26" t="s">
        <v>77</v>
      </c>
      <c r="F310" s="12" t="n">
        <v>10</v>
      </c>
      <c r="G310" s="26" t="n">
        <v>1</v>
      </c>
      <c r="H310" s="22" t="n">
        <v>1310.21419699999</v>
      </c>
    </row>
    <row r="311" customFormat="false" ht="15" hidden="false" customHeight="false" outlineLevel="0" collapsed="false">
      <c r="A311" s="26" t="n">
        <v>1</v>
      </c>
      <c r="B311" s="26" t="s">
        <v>229</v>
      </c>
      <c r="C311" s="12" t="n">
        <v>1220000</v>
      </c>
      <c r="D311" s="26" t="s">
        <v>208</v>
      </c>
      <c r="E311" s="26" t="s">
        <v>77</v>
      </c>
      <c r="F311" s="12" t="n">
        <v>10</v>
      </c>
      <c r="G311" s="26" t="n">
        <v>2</v>
      </c>
      <c r="H311" s="22" t="n">
        <v>1291.83426599997</v>
      </c>
    </row>
    <row r="312" customFormat="false" ht="15" hidden="false" customHeight="false" outlineLevel="0" collapsed="false">
      <c r="A312" s="26" t="n">
        <v>1</v>
      </c>
      <c r="B312" s="26" t="s">
        <v>229</v>
      </c>
      <c r="C312" s="12" t="n">
        <v>1220000</v>
      </c>
      <c r="D312" s="26" t="s">
        <v>208</v>
      </c>
      <c r="E312" s="26" t="s">
        <v>77</v>
      </c>
      <c r="F312" s="12" t="n">
        <v>10</v>
      </c>
      <c r="G312" s="26" t="n">
        <v>3</v>
      </c>
      <c r="H312" s="22" t="n">
        <v>1078.23554600003</v>
      </c>
    </row>
    <row r="313" customFormat="false" ht="15" hidden="false" customHeight="false" outlineLevel="0" collapsed="false">
      <c r="A313" s="26" t="n">
        <v>1</v>
      </c>
      <c r="B313" s="26" t="s">
        <v>229</v>
      </c>
      <c r="C313" s="12" t="n">
        <v>1220000</v>
      </c>
      <c r="D313" s="26" t="s">
        <v>208</v>
      </c>
      <c r="E313" s="26" t="s">
        <v>77</v>
      </c>
      <c r="F313" s="12" t="n">
        <v>10</v>
      </c>
      <c r="G313" s="26" t="n">
        <v>4</v>
      </c>
      <c r="H313" s="22" t="n">
        <v>1053.62494100001</v>
      </c>
    </row>
    <row r="314" customFormat="false" ht="15" hidden="false" customHeight="false" outlineLevel="0" collapsed="false">
      <c r="A314" s="26" t="n">
        <v>1</v>
      </c>
      <c r="B314" s="26" t="s">
        <v>229</v>
      </c>
      <c r="C314" s="12" t="n">
        <v>1220000</v>
      </c>
      <c r="D314" s="26" t="s">
        <v>208</v>
      </c>
      <c r="E314" s="26" t="s">
        <v>77</v>
      </c>
      <c r="F314" s="12" t="n">
        <v>10</v>
      </c>
      <c r="G314" s="26" t="n">
        <v>5</v>
      </c>
      <c r="H314" s="22" t="n">
        <v>1099.95248000001</v>
      </c>
    </row>
    <row r="315" customFormat="false" ht="15" hidden="false" customHeight="false" outlineLevel="0" collapsed="false">
      <c r="A315" s="26" t="n">
        <v>1</v>
      </c>
      <c r="B315" s="26" t="s">
        <v>229</v>
      </c>
      <c r="C315" s="12" t="n">
        <v>1220000</v>
      </c>
      <c r="D315" s="26" t="s">
        <v>208</v>
      </c>
      <c r="E315" s="26" t="s">
        <v>76</v>
      </c>
      <c r="F315" s="12" t="n">
        <v>1000</v>
      </c>
      <c r="G315" s="26" t="n">
        <v>1</v>
      </c>
      <c r="H315" s="22" t="n">
        <v>0.775497000006453</v>
      </c>
    </row>
    <row r="316" customFormat="false" ht="15" hidden="false" customHeight="false" outlineLevel="0" collapsed="false">
      <c r="A316" s="26" t="n">
        <v>1</v>
      </c>
      <c r="B316" s="26" t="s">
        <v>229</v>
      </c>
      <c r="C316" s="12" t="n">
        <v>1220000</v>
      </c>
      <c r="D316" s="26" t="s">
        <v>208</v>
      </c>
      <c r="E316" s="26" t="s">
        <v>76</v>
      </c>
      <c r="F316" s="12" t="n">
        <v>1000</v>
      </c>
      <c r="G316" s="26" t="n">
        <v>2</v>
      </c>
      <c r="H316" s="22" t="n">
        <v>0.683094999999412</v>
      </c>
    </row>
    <row r="317" customFormat="false" ht="15" hidden="false" customHeight="false" outlineLevel="0" collapsed="false">
      <c r="A317" s="26" t="n">
        <v>1</v>
      </c>
      <c r="B317" s="26" t="s">
        <v>229</v>
      </c>
      <c r="C317" s="12" t="n">
        <v>1220000</v>
      </c>
      <c r="D317" s="26" t="s">
        <v>208</v>
      </c>
      <c r="E317" s="26" t="s">
        <v>76</v>
      </c>
      <c r="F317" s="12" t="n">
        <v>1000</v>
      </c>
      <c r="G317" s="26" t="n">
        <v>3</v>
      </c>
      <c r="H317" s="22" t="n">
        <v>0.619330000006357</v>
      </c>
    </row>
    <row r="318" customFormat="false" ht="15" hidden="false" customHeight="false" outlineLevel="0" collapsed="false">
      <c r="A318" s="26" t="n">
        <v>1</v>
      </c>
      <c r="B318" s="26" t="s">
        <v>229</v>
      </c>
      <c r="C318" s="12" t="n">
        <v>1220000</v>
      </c>
      <c r="D318" s="26" t="s">
        <v>208</v>
      </c>
      <c r="E318" s="26" t="s">
        <v>76</v>
      </c>
      <c r="F318" s="12" t="n">
        <v>1000</v>
      </c>
      <c r="G318" s="26" t="n">
        <v>4</v>
      </c>
      <c r="H318" s="22" t="n">
        <v>0.658768000050714</v>
      </c>
    </row>
    <row r="319" customFormat="false" ht="15" hidden="false" customHeight="false" outlineLevel="0" collapsed="false">
      <c r="A319" s="26" t="n">
        <v>1</v>
      </c>
      <c r="B319" s="26" t="s">
        <v>229</v>
      </c>
      <c r="C319" s="12" t="n">
        <v>1220000</v>
      </c>
      <c r="D319" s="26" t="s">
        <v>208</v>
      </c>
      <c r="E319" s="26" t="s">
        <v>76</v>
      </c>
      <c r="F319" s="12" t="n">
        <v>1000</v>
      </c>
      <c r="G319" s="26" t="n">
        <v>5</v>
      </c>
      <c r="H319" s="22" t="n">
        <v>0.651451000010184</v>
      </c>
    </row>
    <row r="320" customFormat="false" ht="15" hidden="false" customHeight="false" outlineLevel="0" collapsed="false">
      <c r="A320" s="26" t="n">
        <v>1</v>
      </c>
      <c r="B320" s="26" t="s">
        <v>229</v>
      </c>
      <c r="C320" s="12" t="n">
        <v>1220000</v>
      </c>
      <c r="D320" s="26" t="s">
        <v>208</v>
      </c>
      <c r="E320" s="26" t="s">
        <v>77</v>
      </c>
      <c r="F320" s="12" t="n">
        <v>1000</v>
      </c>
      <c r="G320" s="26" t="n">
        <v>1</v>
      </c>
      <c r="H320" s="22" t="n">
        <v>1009.70137799999</v>
      </c>
    </row>
    <row r="321" customFormat="false" ht="15" hidden="false" customHeight="false" outlineLevel="0" collapsed="false">
      <c r="A321" s="26" t="n">
        <v>1</v>
      </c>
      <c r="B321" s="26" t="s">
        <v>229</v>
      </c>
      <c r="C321" s="12" t="n">
        <v>1220000</v>
      </c>
      <c r="D321" s="26" t="s">
        <v>208</v>
      </c>
      <c r="E321" s="26" t="s">
        <v>77</v>
      </c>
      <c r="F321" s="12" t="n">
        <v>1000</v>
      </c>
      <c r="G321" s="26" t="n">
        <v>2</v>
      </c>
      <c r="H321" s="22" t="n">
        <v>1090.60912899997</v>
      </c>
    </row>
    <row r="322" customFormat="false" ht="15" hidden="false" customHeight="false" outlineLevel="0" collapsed="false">
      <c r="A322" s="26" t="n">
        <v>1</v>
      </c>
      <c r="B322" s="26" t="s">
        <v>229</v>
      </c>
      <c r="C322" s="12" t="n">
        <v>1220000</v>
      </c>
      <c r="D322" s="26" t="s">
        <v>208</v>
      </c>
      <c r="E322" s="26" t="s">
        <v>77</v>
      </c>
      <c r="F322" s="12" t="n">
        <v>1000</v>
      </c>
      <c r="G322" s="26" t="n">
        <v>3</v>
      </c>
      <c r="H322" s="22" t="n">
        <v>1053.914147</v>
      </c>
    </row>
    <row r="323" customFormat="false" ht="15" hidden="false" customHeight="false" outlineLevel="0" collapsed="false">
      <c r="A323" s="26" t="n">
        <v>1</v>
      </c>
      <c r="B323" s="26" t="s">
        <v>229</v>
      </c>
      <c r="C323" s="12" t="n">
        <v>1220000</v>
      </c>
      <c r="D323" s="26" t="s">
        <v>208</v>
      </c>
      <c r="E323" s="26" t="s">
        <v>77</v>
      </c>
      <c r="F323" s="12" t="n">
        <v>1000</v>
      </c>
      <c r="G323" s="26" t="n">
        <v>4</v>
      </c>
      <c r="H323" s="22" t="n">
        <v>1055.94138600003</v>
      </c>
    </row>
    <row r="324" customFormat="false" ht="15" hidden="false" customHeight="false" outlineLevel="0" collapsed="false">
      <c r="A324" s="26" t="n">
        <v>1</v>
      </c>
      <c r="B324" s="26" t="s">
        <v>229</v>
      </c>
      <c r="C324" s="12" t="n">
        <v>1220000</v>
      </c>
      <c r="D324" s="26" t="s">
        <v>208</v>
      </c>
      <c r="E324" s="26" t="s">
        <v>77</v>
      </c>
      <c r="F324" s="12" t="n">
        <v>1000</v>
      </c>
      <c r="G324" s="26" t="n">
        <v>5</v>
      </c>
      <c r="H324" s="22" t="n">
        <v>1048.65388499997</v>
      </c>
    </row>
    <row r="325" customFormat="false" ht="15" hidden="false" customHeight="false" outlineLevel="0" collapsed="false">
      <c r="A325" s="26" t="n">
        <v>1</v>
      </c>
      <c r="B325" s="26" t="s">
        <v>229</v>
      </c>
      <c r="C325" s="12" t="n">
        <v>1220000</v>
      </c>
      <c r="D325" s="26" t="s">
        <v>208</v>
      </c>
      <c r="E325" s="26" t="s">
        <v>76</v>
      </c>
      <c r="F325" s="12" t="n">
        <v>10000</v>
      </c>
      <c r="G325" s="26" t="n">
        <v>1</v>
      </c>
      <c r="H325" s="22" t="n">
        <v>0.688416999992114</v>
      </c>
    </row>
    <row r="326" customFormat="false" ht="15" hidden="false" customHeight="false" outlineLevel="0" collapsed="false">
      <c r="A326" s="26" t="n">
        <v>1</v>
      </c>
      <c r="B326" s="26" t="s">
        <v>229</v>
      </c>
      <c r="C326" s="12" t="n">
        <v>1220000</v>
      </c>
      <c r="D326" s="26" t="s">
        <v>208</v>
      </c>
      <c r="E326" s="26" t="s">
        <v>76</v>
      </c>
      <c r="F326" s="12" t="n">
        <v>10000</v>
      </c>
      <c r="G326" s="26" t="n">
        <v>2</v>
      </c>
      <c r="H326" s="22" t="n">
        <v>0.606050999977015</v>
      </c>
    </row>
    <row r="327" customFormat="false" ht="15" hidden="false" customHeight="false" outlineLevel="0" collapsed="false">
      <c r="A327" s="26" t="n">
        <v>1</v>
      </c>
      <c r="B327" s="26" t="s">
        <v>229</v>
      </c>
      <c r="C327" s="12" t="n">
        <v>1220000</v>
      </c>
      <c r="D327" s="26" t="s">
        <v>208</v>
      </c>
      <c r="E327" s="26" t="s">
        <v>76</v>
      </c>
      <c r="F327" s="12" t="n">
        <v>10000</v>
      </c>
      <c r="G327" s="26" t="n">
        <v>3</v>
      </c>
      <c r="H327" s="22" t="n">
        <v>0.66312100000232</v>
      </c>
    </row>
    <row r="328" customFormat="false" ht="15" hidden="false" customHeight="false" outlineLevel="0" collapsed="false">
      <c r="A328" s="26" t="n">
        <v>1</v>
      </c>
      <c r="B328" s="26" t="s">
        <v>229</v>
      </c>
      <c r="C328" s="12" t="n">
        <v>1220000</v>
      </c>
      <c r="D328" s="26" t="s">
        <v>208</v>
      </c>
      <c r="E328" s="26" t="s">
        <v>76</v>
      </c>
      <c r="F328" s="12" t="n">
        <v>10000</v>
      </c>
      <c r="G328" s="26" t="n">
        <v>4</v>
      </c>
      <c r="H328" s="22" t="n">
        <v>0.663810999981251</v>
      </c>
    </row>
    <row r="329" customFormat="false" ht="15" hidden="false" customHeight="false" outlineLevel="0" collapsed="false">
      <c r="A329" s="26" t="n">
        <v>1</v>
      </c>
      <c r="B329" s="26" t="s">
        <v>229</v>
      </c>
      <c r="C329" s="12" t="n">
        <v>1220000</v>
      </c>
      <c r="D329" s="26" t="s">
        <v>208</v>
      </c>
      <c r="E329" s="26" t="s">
        <v>76</v>
      </c>
      <c r="F329" s="12" t="n">
        <v>10000</v>
      </c>
      <c r="G329" s="26" t="n">
        <v>5</v>
      </c>
      <c r="H329" s="22" t="n">
        <v>0.652628000011646</v>
      </c>
    </row>
    <row r="330" customFormat="false" ht="15" hidden="false" customHeight="false" outlineLevel="0" collapsed="false">
      <c r="A330" s="26" t="n">
        <v>1</v>
      </c>
      <c r="B330" s="26" t="s">
        <v>229</v>
      </c>
      <c r="C330" s="12" t="n">
        <v>1220000</v>
      </c>
      <c r="D330" s="26" t="s">
        <v>208</v>
      </c>
      <c r="E330" s="26" t="s">
        <v>77</v>
      </c>
      <c r="F330" s="12" t="n">
        <v>10000</v>
      </c>
      <c r="G330" s="26" t="n">
        <v>1</v>
      </c>
      <c r="H330" s="22" t="n">
        <v>1047.27736799998</v>
      </c>
    </row>
    <row r="331" customFormat="false" ht="15" hidden="false" customHeight="false" outlineLevel="0" collapsed="false">
      <c r="A331" s="26" t="n">
        <v>1</v>
      </c>
      <c r="B331" s="26" t="s">
        <v>229</v>
      </c>
      <c r="C331" s="12" t="n">
        <v>1220000</v>
      </c>
      <c r="D331" s="26" t="s">
        <v>208</v>
      </c>
      <c r="E331" s="26" t="s">
        <v>77</v>
      </c>
      <c r="F331" s="12" t="n">
        <v>10000</v>
      </c>
      <c r="G331" s="26" t="n">
        <v>2</v>
      </c>
      <c r="H331" s="22" t="n">
        <v>1050.62739800002</v>
      </c>
    </row>
    <row r="332" customFormat="false" ht="15" hidden="false" customHeight="false" outlineLevel="0" collapsed="false">
      <c r="A332" s="26" t="n">
        <v>1</v>
      </c>
      <c r="B332" s="26" t="s">
        <v>229</v>
      </c>
      <c r="C332" s="12" t="n">
        <v>1220000</v>
      </c>
      <c r="D332" s="26" t="s">
        <v>208</v>
      </c>
      <c r="E332" s="26" t="s">
        <v>77</v>
      </c>
      <c r="F332" s="12" t="n">
        <v>10000</v>
      </c>
      <c r="G332" s="26" t="n">
        <v>3</v>
      </c>
      <c r="H332" s="22" t="n">
        <v>1047.96303999996</v>
      </c>
    </row>
    <row r="333" customFormat="false" ht="15" hidden="false" customHeight="false" outlineLevel="0" collapsed="false">
      <c r="A333" s="26" t="n">
        <v>1</v>
      </c>
      <c r="B333" s="26" t="s">
        <v>229</v>
      </c>
      <c r="C333" s="12" t="n">
        <v>1220000</v>
      </c>
      <c r="D333" s="26" t="s">
        <v>208</v>
      </c>
      <c r="E333" s="26" t="s">
        <v>77</v>
      </c>
      <c r="F333" s="12" t="n">
        <v>10000</v>
      </c>
      <c r="G333" s="26" t="n">
        <v>4</v>
      </c>
      <c r="H333" s="22" t="n">
        <v>1063.98027199998</v>
      </c>
    </row>
    <row r="334" customFormat="false" ht="15" hidden="false" customHeight="false" outlineLevel="0" collapsed="false">
      <c r="A334" s="26" t="n">
        <v>1</v>
      </c>
      <c r="B334" s="26" t="s">
        <v>229</v>
      </c>
      <c r="C334" s="12" t="n">
        <v>1220000</v>
      </c>
      <c r="D334" s="26" t="s">
        <v>208</v>
      </c>
      <c r="E334" s="26" t="s">
        <v>77</v>
      </c>
      <c r="F334" s="12" t="n">
        <v>10000</v>
      </c>
      <c r="G334" s="26" t="n">
        <v>5</v>
      </c>
      <c r="H334" s="22" t="n">
        <v>1100.29442500002</v>
      </c>
    </row>
    <row r="335" customFormat="false" ht="15" hidden="false" customHeight="false" outlineLevel="0" collapsed="false">
      <c r="A335" s="26" t="n">
        <v>1</v>
      </c>
      <c r="B335" s="26" t="s">
        <v>229</v>
      </c>
      <c r="C335" s="12" t="n">
        <v>1220000</v>
      </c>
      <c r="D335" s="26" t="s">
        <v>208</v>
      </c>
      <c r="E335" s="26" t="s">
        <v>76</v>
      </c>
      <c r="F335" s="12" t="n">
        <v>100000</v>
      </c>
      <c r="G335" s="26" t="n">
        <v>1</v>
      </c>
      <c r="H335" s="22" t="n">
        <v>0.806083999975726</v>
      </c>
    </row>
    <row r="336" customFormat="false" ht="15" hidden="false" customHeight="false" outlineLevel="0" collapsed="false">
      <c r="A336" s="26" t="n">
        <v>1</v>
      </c>
      <c r="B336" s="26" t="s">
        <v>229</v>
      </c>
      <c r="C336" s="12" t="n">
        <v>1220000</v>
      </c>
      <c r="D336" s="26" t="s">
        <v>208</v>
      </c>
      <c r="E336" s="26" t="s">
        <v>76</v>
      </c>
      <c r="F336" s="12" t="n">
        <v>100000</v>
      </c>
      <c r="G336" s="26" t="n">
        <v>2</v>
      </c>
      <c r="H336" s="22" t="n">
        <v>0.732626999990771</v>
      </c>
    </row>
    <row r="337" customFormat="false" ht="15" hidden="false" customHeight="false" outlineLevel="0" collapsed="false">
      <c r="A337" s="26" t="n">
        <v>1</v>
      </c>
      <c r="B337" s="26" t="s">
        <v>229</v>
      </c>
      <c r="C337" s="12" t="n">
        <v>1220000</v>
      </c>
      <c r="D337" s="26" t="s">
        <v>208</v>
      </c>
      <c r="E337" s="26" t="s">
        <v>76</v>
      </c>
      <c r="F337" s="12" t="n">
        <v>100000</v>
      </c>
      <c r="G337" s="26" t="n">
        <v>3</v>
      </c>
      <c r="H337" s="22" t="n">
        <v>0.684831000000941</v>
      </c>
    </row>
    <row r="338" customFormat="false" ht="15" hidden="false" customHeight="false" outlineLevel="0" collapsed="false">
      <c r="A338" s="26" t="n">
        <v>1</v>
      </c>
      <c r="B338" s="26" t="s">
        <v>229</v>
      </c>
      <c r="C338" s="12" t="n">
        <v>1220000</v>
      </c>
      <c r="D338" s="26" t="s">
        <v>208</v>
      </c>
      <c r="E338" s="26" t="s">
        <v>76</v>
      </c>
      <c r="F338" s="12" t="n">
        <v>100000</v>
      </c>
      <c r="G338" s="26" t="n">
        <v>4</v>
      </c>
      <c r="H338" s="22" t="n">
        <v>0.674438999965332</v>
      </c>
    </row>
    <row r="339" customFormat="false" ht="15" hidden="false" customHeight="false" outlineLevel="0" collapsed="false">
      <c r="A339" s="26" t="n">
        <v>1</v>
      </c>
      <c r="B339" s="26" t="s">
        <v>229</v>
      </c>
      <c r="C339" s="12" t="n">
        <v>1220000</v>
      </c>
      <c r="D339" s="26" t="s">
        <v>208</v>
      </c>
      <c r="E339" s="26" t="s">
        <v>76</v>
      </c>
      <c r="F339" s="12" t="n">
        <v>100000</v>
      </c>
      <c r="G339" s="26" t="n">
        <v>5</v>
      </c>
      <c r="H339" s="22" t="n">
        <v>0.58069199997135</v>
      </c>
    </row>
    <row r="340" customFormat="false" ht="15" hidden="false" customHeight="false" outlineLevel="0" collapsed="false">
      <c r="A340" s="26" t="n">
        <v>1</v>
      </c>
      <c r="B340" s="26" t="s">
        <v>229</v>
      </c>
      <c r="C340" s="12" t="n">
        <v>1220000</v>
      </c>
      <c r="D340" s="26" t="s">
        <v>208</v>
      </c>
      <c r="E340" s="26" t="s">
        <v>77</v>
      </c>
      <c r="F340" s="12" t="n">
        <v>100000</v>
      </c>
      <c r="G340" s="26" t="n">
        <v>1</v>
      </c>
      <c r="H340" s="22" t="n">
        <v>1104.89337400003</v>
      </c>
    </row>
    <row r="341" customFormat="false" ht="15" hidden="false" customHeight="false" outlineLevel="0" collapsed="false">
      <c r="A341" s="26" t="n">
        <v>1</v>
      </c>
      <c r="B341" s="26" t="s">
        <v>229</v>
      </c>
      <c r="C341" s="12" t="n">
        <v>1220000</v>
      </c>
      <c r="D341" s="26" t="s">
        <v>208</v>
      </c>
      <c r="E341" s="26" t="s">
        <v>77</v>
      </c>
      <c r="F341" s="12" t="n">
        <v>100000</v>
      </c>
      <c r="G341" s="26" t="n">
        <v>2</v>
      </c>
      <c r="H341" s="22" t="n">
        <v>1017.12603100003</v>
      </c>
    </row>
    <row r="342" customFormat="false" ht="15" hidden="false" customHeight="false" outlineLevel="0" collapsed="false">
      <c r="A342" s="26" t="n">
        <v>1</v>
      </c>
      <c r="B342" s="26" t="s">
        <v>229</v>
      </c>
      <c r="C342" s="12" t="n">
        <v>1220000</v>
      </c>
      <c r="D342" s="26" t="s">
        <v>208</v>
      </c>
      <c r="E342" s="26" t="s">
        <v>77</v>
      </c>
      <c r="F342" s="12" t="n">
        <v>100000</v>
      </c>
      <c r="G342" s="26" t="n">
        <v>3</v>
      </c>
      <c r="H342" s="22" t="n">
        <v>1067.744683</v>
      </c>
    </row>
    <row r="343" customFormat="false" ht="15" hidden="false" customHeight="false" outlineLevel="0" collapsed="false">
      <c r="A343" s="26" t="n">
        <v>1</v>
      </c>
      <c r="B343" s="26" t="s">
        <v>229</v>
      </c>
      <c r="C343" s="12" t="n">
        <v>1220000</v>
      </c>
      <c r="D343" s="26" t="s">
        <v>208</v>
      </c>
      <c r="E343" s="26" t="s">
        <v>77</v>
      </c>
      <c r="F343" s="12" t="n">
        <v>100000</v>
      </c>
      <c r="G343" s="26" t="n">
        <v>4</v>
      </c>
      <c r="H343" s="22" t="n">
        <v>963.678539</v>
      </c>
    </row>
    <row r="344" customFormat="false" ht="15" hidden="false" customHeight="false" outlineLevel="0" collapsed="false">
      <c r="A344" s="26" t="n">
        <v>1</v>
      </c>
      <c r="B344" s="26" t="s">
        <v>229</v>
      </c>
      <c r="C344" s="12" t="n">
        <v>1220000</v>
      </c>
      <c r="D344" s="26" t="s">
        <v>208</v>
      </c>
      <c r="E344" s="26" t="s">
        <v>77</v>
      </c>
      <c r="F344" s="12" t="n">
        <v>100000</v>
      </c>
      <c r="G344" s="26" t="n">
        <v>5</v>
      </c>
      <c r="H344" s="22" t="n">
        <v>1092.65721200001</v>
      </c>
    </row>
    <row r="345" customFormat="false" ht="15" hidden="false" customHeight="false" outlineLevel="0" collapsed="false">
      <c r="A345" s="26" t="n">
        <v>1</v>
      </c>
      <c r="B345" s="26" t="s">
        <v>229</v>
      </c>
      <c r="C345" s="12" t="n">
        <v>1220000</v>
      </c>
      <c r="D345" s="26" t="s">
        <v>208</v>
      </c>
      <c r="E345" s="26" t="s">
        <v>76</v>
      </c>
      <c r="F345" s="12" t="n">
        <v>1000000</v>
      </c>
      <c r="G345" s="26" t="n">
        <v>1</v>
      </c>
      <c r="H345" s="22" t="n">
        <v>0.753657000018393</v>
      </c>
    </row>
    <row r="346" customFormat="false" ht="15" hidden="false" customHeight="false" outlineLevel="0" collapsed="false">
      <c r="A346" s="26" t="n">
        <v>1</v>
      </c>
      <c r="B346" s="26" t="s">
        <v>229</v>
      </c>
      <c r="C346" s="12" t="n">
        <v>1220000</v>
      </c>
      <c r="D346" s="26" t="s">
        <v>208</v>
      </c>
      <c r="E346" s="26" t="s">
        <v>76</v>
      </c>
      <c r="F346" s="12" t="n">
        <v>1000000</v>
      </c>
      <c r="G346" s="26" t="n">
        <v>2</v>
      </c>
      <c r="H346" s="22" t="n">
        <v>0.591372000030788</v>
      </c>
    </row>
    <row r="347" customFormat="false" ht="15" hidden="false" customHeight="false" outlineLevel="0" collapsed="false">
      <c r="A347" s="26" t="n">
        <v>1</v>
      </c>
      <c r="B347" s="26" t="s">
        <v>229</v>
      </c>
      <c r="C347" s="12" t="n">
        <v>1220000</v>
      </c>
      <c r="D347" s="26" t="s">
        <v>208</v>
      </c>
      <c r="E347" s="26" t="s">
        <v>76</v>
      </c>
      <c r="F347" s="12" t="n">
        <v>1000000</v>
      </c>
      <c r="G347" s="26" t="n">
        <v>3</v>
      </c>
      <c r="H347" s="22" t="n">
        <v>0.727127000004657</v>
      </c>
    </row>
    <row r="348" customFormat="false" ht="15" hidden="false" customHeight="false" outlineLevel="0" collapsed="false">
      <c r="A348" s="26" t="n">
        <v>1</v>
      </c>
      <c r="B348" s="26" t="s">
        <v>229</v>
      </c>
      <c r="C348" s="12" t="n">
        <v>1220000</v>
      </c>
      <c r="D348" s="26" t="s">
        <v>208</v>
      </c>
      <c r="E348" s="26" t="s">
        <v>76</v>
      </c>
      <c r="F348" s="12" t="n">
        <v>1000000</v>
      </c>
      <c r="G348" s="26" t="n">
        <v>4</v>
      </c>
      <c r="H348" s="22" t="n">
        <v>1.20326900002965</v>
      </c>
    </row>
    <row r="349" customFormat="false" ht="15" hidden="false" customHeight="false" outlineLevel="0" collapsed="false">
      <c r="A349" s="26" t="n">
        <v>1</v>
      </c>
      <c r="B349" s="26" t="s">
        <v>229</v>
      </c>
      <c r="C349" s="12" t="n">
        <v>1220000</v>
      </c>
      <c r="D349" s="26" t="s">
        <v>208</v>
      </c>
      <c r="E349" s="26" t="s">
        <v>76</v>
      </c>
      <c r="F349" s="12" t="n">
        <v>1000000</v>
      </c>
      <c r="G349" s="26" t="n">
        <v>5</v>
      </c>
      <c r="H349" s="22" t="n">
        <v>1.13787600002979</v>
      </c>
    </row>
    <row r="350" customFormat="false" ht="15" hidden="false" customHeight="false" outlineLevel="0" collapsed="false">
      <c r="A350" s="26" t="n">
        <v>1</v>
      </c>
      <c r="B350" s="26" t="s">
        <v>229</v>
      </c>
      <c r="C350" s="12" t="n">
        <v>1220000</v>
      </c>
      <c r="D350" s="26" t="s">
        <v>208</v>
      </c>
      <c r="E350" s="26" t="s">
        <v>77</v>
      </c>
      <c r="F350" s="12" t="n">
        <v>1000000</v>
      </c>
      <c r="G350" s="26" t="n">
        <v>1</v>
      </c>
      <c r="H350" s="22" t="n">
        <v>1093.15549500002</v>
      </c>
    </row>
    <row r="351" customFormat="false" ht="15" hidden="false" customHeight="false" outlineLevel="0" collapsed="false">
      <c r="A351" s="26" t="n">
        <v>1</v>
      </c>
      <c r="B351" s="26" t="s">
        <v>229</v>
      </c>
      <c r="C351" s="12" t="n">
        <v>1220000</v>
      </c>
      <c r="D351" s="26" t="s">
        <v>208</v>
      </c>
      <c r="E351" s="26" t="s">
        <v>77</v>
      </c>
      <c r="F351" s="12" t="n">
        <v>1000000</v>
      </c>
      <c r="G351" s="26" t="n">
        <v>2</v>
      </c>
      <c r="H351" s="22" t="n">
        <v>967.718735999995</v>
      </c>
    </row>
    <row r="352" customFormat="false" ht="15" hidden="false" customHeight="false" outlineLevel="0" collapsed="false">
      <c r="A352" s="26" t="n">
        <v>1</v>
      </c>
      <c r="B352" s="26" t="s">
        <v>229</v>
      </c>
      <c r="C352" s="12" t="n">
        <v>1220000</v>
      </c>
      <c r="D352" s="26" t="s">
        <v>208</v>
      </c>
      <c r="E352" s="26" t="s">
        <v>77</v>
      </c>
      <c r="F352" s="12" t="n">
        <v>1000000</v>
      </c>
      <c r="G352" s="26" t="n">
        <v>3</v>
      </c>
      <c r="H352" s="22" t="n">
        <v>1087.91502699995</v>
      </c>
    </row>
    <row r="353" customFormat="false" ht="15" hidden="false" customHeight="false" outlineLevel="0" collapsed="false">
      <c r="A353" s="26" t="n">
        <v>1</v>
      </c>
      <c r="B353" s="26" t="s">
        <v>229</v>
      </c>
      <c r="C353" s="12" t="n">
        <v>1220000</v>
      </c>
      <c r="D353" s="26" t="s">
        <v>208</v>
      </c>
      <c r="E353" s="26" t="s">
        <v>77</v>
      </c>
      <c r="F353" s="12" t="n">
        <v>1000000</v>
      </c>
      <c r="G353" s="26" t="n">
        <v>4</v>
      </c>
      <c r="H353" s="22" t="n">
        <v>1173.75993799999</v>
      </c>
    </row>
    <row r="354" customFormat="false" ht="15" hidden="false" customHeight="false" outlineLevel="0" collapsed="false">
      <c r="A354" s="26" t="n">
        <v>1</v>
      </c>
      <c r="B354" s="26" t="s">
        <v>229</v>
      </c>
      <c r="C354" s="12" t="n">
        <v>1220000</v>
      </c>
      <c r="D354" s="26" t="s">
        <v>208</v>
      </c>
      <c r="E354" s="26" t="s">
        <v>77</v>
      </c>
      <c r="F354" s="12" t="n">
        <v>1000000</v>
      </c>
      <c r="G354" s="26" t="n">
        <v>5</v>
      </c>
      <c r="H354" s="22" t="n">
        <v>1000.23899199999</v>
      </c>
    </row>
    <row r="355" customFormat="false" ht="15" hidden="false" customHeight="false" outlineLevel="0" collapsed="false">
      <c r="A355" s="26" t="n">
        <v>2</v>
      </c>
      <c r="B355" s="26" t="s">
        <v>229</v>
      </c>
      <c r="C355" s="12" t="n">
        <v>1220000</v>
      </c>
      <c r="D355" s="26" t="s">
        <v>208</v>
      </c>
      <c r="E355" s="26" t="s">
        <v>76</v>
      </c>
      <c r="F355" s="12" t="n">
        <v>10</v>
      </c>
      <c r="G355" s="26" t="n">
        <v>1</v>
      </c>
      <c r="H355" s="22" t="n">
        <v>1.24083299999711</v>
      </c>
    </row>
    <row r="356" customFormat="false" ht="15" hidden="false" customHeight="false" outlineLevel="0" collapsed="false">
      <c r="A356" s="26" t="n">
        <v>2</v>
      </c>
      <c r="B356" s="26" t="s">
        <v>229</v>
      </c>
      <c r="C356" s="12" t="n">
        <v>1220000</v>
      </c>
      <c r="D356" s="26" t="s">
        <v>208</v>
      </c>
      <c r="E356" s="26" t="s">
        <v>76</v>
      </c>
      <c r="F356" s="12" t="n">
        <v>10</v>
      </c>
      <c r="G356" s="26" t="n">
        <v>2</v>
      </c>
      <c r="H356" s="22" t="n">
        <v>0.962696999977197</v>
      </c>
    </row>
    <row r="357" customFormat="false" ht="15" hidden="false" customHeight="false" outlineLevel="0" collapsed="false">
      <c r="A357" s="26" t="n">
        <v>2</v>
      </c>
      <c r="B357" s="26" t="s">
        <v>229</v>
      </c>
      <c r="C357" s="12" t="n">
        <v>1220000</v>
      </c>
      <c r="D357" s="26" t="s">
        <v>208</v>
      </c>
      <c r="E357" s="26" t="s">
        <v>76</v>
      </c>
      <c r="F357" s="12" t="n">
        <v>10</v>
      </c>
      <c r="G357" s="26" t="n">
        <v>3</v>
      </c>
      <c r="H357" s="22" t="n">
        <v>0.7229789999883</v>
      </c>
    </row>
    <row r="358" customFormat="false" ht="15" hidden="false" customHeight="false" outlineLevel="0" collapsed="false">
      <c r="A358" s="26" t="n">
        <v>2</v>
      </c>
      <c r="B358" s="26" t="s">
        <v>229</v>
      </c>
      <c r="C358" s="12" t="n">
        <v>1220000</v>
      </c>
      <c r="D358" s="26" t="s">
        <v>208</v>
      </c>
      <c r="E358" s="26" t="s">
        <v>76</v>
      </c>
      <c r="F358" s="12" t="n">
        <v>10</v>
      </c>
      <c r="G358" s="26" t="n">
        <v>4</v>
      </c>
      <c r="H358" s="22" t="n">
        <v>0.744770999972388</v>
      </c>
    </row>
    <row r="359" customFormat="false" ht="15" hidden="false" customHeight="false" outlineLevel="0" collapsed="false">
      <c r="A359" s="26" t="n">
        <v>2</v>
      </c>
      <c r="B359" s="26" t="s">
        <v>229</v>
      </c>
      <c r="C359" s="12" t="n">
        <v>1220000</v>
      </c>
      <c r="D359" s="26" t="s">
        <v>208</v>
      </c>
      <c r="E359" s="26" t="s">
        <v>76</v>
      </c>
      <c r="F359" s="12" t="n">
        <v>10</v>
      </c>
      <c r="G359" s="26" t="n">
        <v>5</v>
      </c>
      <c r="H359" s="22" t="n">
        <v>0.671570000008614</v>
      </c>
    </row>
    <row r="360" customFormat="false" ht="15" hidden="false" customHeight="false" outlineLevel="0" collapsed="false">
      <c r="A360" s="26" t="n">
        <v>2</v>
      </c>
      <c r="B360" s="26" t="s">
        <v>229</v>
      </c>
      <c r="C360" s="12" t="n">
        <v>1220000</v>
      </c>
      <c r="D360" s="26" t="s">
        <v>208</v>
      </c>
      <c r="E360" s="26" t="s">
        <v>77</v>
      </c>
      <c r="F360" s="12" t="n">
        <v>10</v>
      </c>
      <c r="G360" s="26" t="n">
        <v>1</v>
      </c>
      <c r="H360" s="22" t="n">
        <v>1936.53322</v>
      </c>
    </row>
    <row r="361" customFormat="false" ht="15" hidden="false" customHeight="false" outlineLevel="0" collapsed="false">
      <c r="A361" s="26" t="n">
        <v>2</v>
      </c>
      <c r="B361" s="26" t="s">
        <v>229</v>
      </c>
      <c r="C361" s="12" t="n">
        <v>1220000</v>
      </c>
      <c r="D361" s="26" t="s">
        <v>208</v>
      </c>
      <c r="E361" s="26" t="s">
        <v>77</v>
      </c>
      <c r="F361" s="12" t="n">
        <v>10</v>
      </c>
      <c r="G361" s="26" t="n">
        <v>2</v>
      </c>
      <c r="H361" s="22" t="n">
        <v>1097.70846999993</v>
      </c>
    </row>
    <row r="362" customFormat="false" ht="15" hidden="false" customHeight="false" outlineLevel="0" collapsed="false">
      <c r="A362" s="26" t="n">
        <v>2</v>
      </c>
      <c r="B362" s="26" t="s">
        <v>229</v>
      </c>
      <c r="C362" s="12" t="n">
        <v>1220000</v>
      </c>
      <c r="D362" s="26" t="s">
        <v>208</v>
      </c>
      <c r="E362" s="26" t="s">
        <v>77</v>
      </c>
      <c r="F362" s="12" t="n">
        <v>10</v>
      </c>
      <c r="G362" s="26" t="n">
        <v>3</v>
      </c>
      <c r="H362" s="22" t="n">
        <v>1177.01133000003</v>
      </c>
    </row>
    <row r="363" customFormat="false" ht="15" hidden="false" customHeight="false" outlineLevel="0" collapsed="false">
      <c r="A363" s="26" t="n">
        <v>2</v>
      </c>
      <c r="B363" s="26" t="s">
        <v>229</v>
      </c>
      <c r="C363" s="12" t="n">
        <v>1220000</v>
      </c>
      <c r="D363" s="26" t="s">
        <v>208</v>
      </c>
      <c r="E363" s="26" t="s">
        <v>77</v>
      </c>
      <c r="F363" s="12" t="n">
        <v>10</v>
      </c>
      <c r="G363" s="26" t="n">
        <v>4</v>
      </c>
      <c r="H363" s="22" t="n">
        <v>1244.78692900004</v>
      </c>
    </row>
    <row r="364" customFormat="false" ht="15" hidden="false" customHeight="false" outlineLevel="0" collapsed="false">
      <c r="A364" s="26" t="n">
        <v>2</v>
      </c>
      <c r="B364" s="26" t="s">
        <v>229</v>
      </c>
      <c r="C364" s="12" t="n">
        <v>1220000</v>
      </c>
      <c r="D364" s="26" t="s">
        <v>208</v>
      </c>
      <c r="E364" s="26" t="s">
        <v>77</v>
      </c>
      <c r="F364" s="12" t="n">
        <v>10</v>
      </c>
      <c r="G364" s="26" t="n">
        <v>5</v>
      </c>
      <c r="H364" s="22" t="n">
        <v>1443.00196899997</v>
      </c>
    </row>
    <row r="365" customFormat="false" ht="15" hidden="false" customHeight="false" outlineLevel="0" collapsed="false">
      <c r="A365" s="26" t="n">
        <v>2</v>
      </c>
      <c r="B365" s="26" t="s">
        <v>229</v>
      </c>
      <c r="C365" s="12" t="n">
        <v>1220000</v>
      </c>
      <c r="D365" s="26" t="s">
        <v>208</v>
      </c>
      <c r="E365" s="26" t="s">
        <v>76</v>
      </c>
      <c r="F365" s="12" t="n">
        <v>1000</v>
      </c>
      <c r="G365" s="26" t="n">
        <v>1</v>
      </c>
      <c r="H365" s="22" t="n">
        <v>0.721623000004001</v>
      </c>
    </row>
    <row r="366" customFormat="false" ht="15" hidden="false" customHeight="false" outlineLevel="0" collapsed="false">
      <c r="A366" s="26" t="n">
        <v>2</v>
      </c>
      <c r="B366" s="26" t="s">
        <v>229</v>
      </c>
      <c r="C366" s="12" t="n">
        <v>1220000</v>
      </c>
      <c r="D366" s="26" t="s">
        <v>208</v>
      </c>
      <c r="E366" s="26" t="s">
        <v>76</v>
      </c>
      <c r="F366" s="12" t="n">
        <v>1000</v>
      </c>
      <c r="G366" s="26" t="n">
        <v>2</v>
      </c>
      <c r="H366" s="22" t="n">
        <v>0.597000999960073</v>
      </c>
    </row>
    <row r="367" customFormat="false" ht="15" hidden="false" customHeight="false" outlineLevel="0" collapsed="false">
      <c r="A367" s="26" t="n">
        <v>2</v>
      </c>
      <c r="B367" s="26" t="s">
        <v>229</v>
      </c>
      <c r="C367" s="12" t="n">
        <v>1220000</v>
      </c>
      <c r="D367" s="26" t="s">
        <v>208</v>
      </c>
      <c r="E367" s="26" t="s">
        <v>76</v>
      </c>
      <c r="F367" s="12" t="n">
        <v>1000</v>
      </c>
      <c r="G367" s="26" t="n">
        <v>3</v>
      </c>
      <c r="H367" s="22" t="n">
        <v>0.628719000019373</v>
      </c>
    </row>
    <row r="368" customFormat="false" ht="15" hidden="false" customHeight="false" outlineLevel="0" collapsed="false">
      <c r="A368" s="26" t="n">
        <v>2</v>
      </c>
      <c r="B368" s="26" t="s">
        <v>229</v>
      </c>
      <c r="C368" s="12" t="n">
        <v>1220000</v>
      </c>
      <c r="D368" s="26" t="s">
        <v>208</v>
      </c>
      <c r="E368" s="26" t="s">
        <v>76</v>
      </c>
      <c r="F368" s="12" t="n">
        <v>1000</v>
      </c>
      <c r="G368" s="26" t="n">
        <v>4</v>
      </c>
      <c r="H368" s="22" t="n">
        <v>0.704289000054814</v>
      </c>
    </row>
    <row r="369" customFormat="false" ht="15" hidden="false" customHeight="false" outlineLevel="0" collapsed="false">
      <c r="A369" s="26" t="n">
        <v>2</v>
      </c>
      <c r="B369" s="26" t="s">
        <v>229</v>
      </c>
      <c r="C369" s="12" t="n">
        <v>1220000</v>
      </c>
      <c r="D369" s="26" t="s">
        <v>208</v>
      </c>
      <c r="E369" s="26" t="s">
        <v>76</v>
      </c>
      <c r="F369" s="12" t="n">
        <v>1000</v>
      </c>
      <c r="G369" s="26" t="n">
        <v>5</v>
      </c>
      <c r="H369" s="22" t="n">
        <v>0.647655000079794</v>
      </c>
    </row>
    <row r="370" customFormat="false" ht="15" hidden="false" customHeight="false" outlineLevel="0" collapsed="false">
      <c r="A370" s="26" t="n">
        <v>2</v>
      </c>
      <c r="B370" s="26" t="s">
        <v>229</v>
      </c>
      <c r="C370" s="12" t="n">
        <v>1220000</v>
      </c>
      <c r="D370" s="26" t="s">
        <v>208</v>
      </c>
      <c r="E370" s="26" t="s">
        <v>77</v>
      </c>
      <c r="F370" s="12" t="n">
        <v>1000</v>
      </c>
      <c r="G370" s="26" t="n">
        <v>1</v>
      </c>
      <c r="H370" s="22" t="n">
        <v>1061.37357199998</v>
      </c>
    </row>
    <row r="371" customFormat="false" ht="15" hidden="false" customHeight="false" outlineLevel="0" collapsed="false">
      <c r="A371" s="26" t="n">
        <v>2</v>
      </c>
      <c r="B371" s="26" t="s">
        <v>229</v>
      </c>
      <c r="C371" s="12" t="n">
        <v>1220000</v>
      </c>
      <c r="D371" s="26" t="s">
        <v>208</v>
      </c>
      <c r="E371" s="26" t="s">
        <v>77</v>
      </c>
      <c r="F371" s="12" t="n">
        <v>1000</v>
      </c>
      <c r="G371" s="26" t="n">
        <v>2</v>
      </c>
      <c r="H371" s="22" t="n">
        <v>1164.41490500006</v>
      </c>
    </row>
    <row r="372" customFormat="false" ht="15" hidden="false" customHeight="false" outlineLevel="0" collapsed="false">
      <c r="A372" s="26" t="n">
        <v>2</v>
      </c>
      <c r="B372" s="26" t="s">
        <v>229</v>
      </c>
      <c r="C372" s="12" t="n">
        <v>1220000</v>
      </c>
      <c r="D372" s="26" t="s">
        <v>208</v>
      </c>
      <c r="E372" s="26" t="s">
        <v>77</v>
      </c>
      <c r="F372" s="12" t="n">
        <v>1000</v>
      </c>
      <c r="G372" s="26" t="n">
        <v>3</v>
      </c>
      <c r="H372" s="22" t="n">
        <v>1028.74215199995</v>
      </c>
    </row>
    <row r="373" customFormat="false" ht="15" hidden="false" customHeight="false" outlineLevel="0" collapsed="false">
      <c r="A373" s="26" t="n">
        <v>2</v>
      </c>
      <c r="B373" s="26" t="s">
        <v>229</v>
      </c>
      <c r="C373" s="12" t="n">
        <v>1220000</v>
      </c>
      <c r="D373" s="26" t="s">
        <v>208</v>
      </c>
      <c r="E373" s="26" t="s">
        <v>77</v>
      </c>
      <c r="F373" s="12" t="n">
        <v>1000</v>
      </c>
      <c r="G373" s="26" t="n">
        <v>4</v>
      </c>
      <c r="H373" s="22" t="n">
        <v>1625.38438599995</v>
      </c>
    </row>
    <row r="374" customFormat="false" ht="15" hidden="false" customHeight="false" outlineLevel="0" collapsed="false">
      <c r="A374" s="26" t="n">
        <v>2</v>
      </c>
      <c r="B374" s="26" t="s">
        <v>229</v>
      </c>
      <c r="C374" s="12" t="n">
        <v>1220000</v>
      </c>
      <c r="D374" s="26" t="s">
        <v>208</v>
      </c>
      <c r="E374" s="26" t="s">
        <v>77</v>
      </c>
      <c r="F374" s="12" t="n">
        <v>1000</v>
      </c>
      <c r="G374" s="26" t="n">
        <v>5</v>
      </c>
      <c r="H374" s="22" t="n">
        <v>1024.590107</v>
      </c>
    </row>
    <row r="375" customFormat="false" ht="15" hidden="false" customHeight="false" outlineLevel="0" collapsed="false">
      <c r="A375" s="26" t="n">
        <v>2</v>
      </c>
      <c r="B375" s="26" t="s">
        <v>229</v>
      </c>
      <c r="C375" s="12" t="n">
        <v>1220000</v>
      </c>
      <c r="D375" s="26" t="s">
        <v>208</v>
      </c>
      <c r="E375" s="26" t="s">
        <v>76</v>
      </c>
      <c r="F375" s="12" t="n">
        <v>10000</v>
      </c>
      <c r="G375" s="26" t="n">
        <v>1</v>
      </c>
      <c r="H375" s="22" t="n">
        <v>0.757069999963278</v>
      </c>
    </row>
    <row r="376" customFormat="false" ht="15" hidden="false" customHeight="false" outlineLevel="0" collapsed="false">
      <c r="A376" s="26" t="n">
        <v>2</v>
      </c>
      <c r="B376" s="26" t="s">
        <v>229</v>
      </c>
      <c r="C376" s="12" t="n">
        <v>1220000</v>
      </c>
      <c r="D376" s="26" t="s">
        <v>208</v>
      </c>
      <c r="E376" s="26" t="s">
        <v>76</v>
      </c>
      <c r="F376" s="12" t="n">
        <v>10000</v>
      </c>
      <c r="G376" s="26" t="n">
        <v>2</v>
      </c>
      <c r="H376" s="22" t="n">
        <v>0.714442000003146</v>
      </c>
    </row>
    <row r="377" customFormat="false" ht="15" hidden="false" customHeight="false" outlineLevel="0" collapsed="false">
      <c r="A377" s="26" t="n">
        <v>2</v>
      </c>
      <c r="B377" s="26" t="s">
        <v>229</v>
      </c>
      <c r="C377" s="12" t="n">
        <v>1220000</v>
      </c>
      <c r="D377" s="26" t="s">
        <v>208</v>
      </c>
      <c r="E377" s="26" t="s">
        <v>76</v>
      </c>
      <c r="F377" s="12" t="n">
        <v>10000</v>
      </c>
      <c r="G377" s="26" t="n">
        <v>3</v>
      </c>
      <c r="H377" s="22" t="n">
        <v>0.76131000002988</v>
      </c>
    </row>
    <row r="378" customFormat="false" ht="15" hidden="false" customHeight="false" outlineLevel="0" collapsed="false">
      <c r="A378" s="26" t="n">
        <v>2</v>
      </c>
      <c r="B378" s="26" t="s">
        <v>229</v>
      </c>
      <c r="C378" s="12" t="n">
        <v>1220000</v>
      </c>
      <c r="D378" s="26" t="s">
        <v>208</v>
      </c>
      <c r="E378" s="26" t="s">
        <v>76</v>
      </c>
      <c r="F378" s="12" t="n">
        <v>10000</v>
      </c>
      <c r="G378" s="26" t="n">
        <v>4</v>
      </c>
      <c r="H378" s="22" t="n">
        <v>0.650972000016736</v>
      </c>
    </row>
    <row r="379" customFormat="false" ht="15" hidden="false" customHeight="false" outlineLevel="0" collapsed="false">
      <c r="A379" s="26" t="n">
        <v>2</v>
      </c>
      <c r="B379" s="26" t="s">
        <v>229</v>
      </c>
      <c r="C379" s="12" t="n">
        <v>1220000</v>
      </c>
      <c r="D379" s="26" t="s">
        <v>208</v>
      </c>
      <c r="E379" s="26" t="s">
        <v>76</v>
      </c>
      <c r="F379" s="12" t="n">
        <v>10000</v>
      </c>
      <c r="G379" s="26" t="n">
        <v>5</v>
      </c>
      <c r="H379" s="22" t="n">
        <v>0.674118000006274</v>
      </c>
    </row>
    <row r="380" customFormat="false" ht="15" hidden="false" customHeight="false" outlineLevel="0" collapsed="false">
      <c r="A380" s="26" t="n">
        <v>2</v>
      </c>
      <c r="B380" s="26" t="s">
        <v>229</v>
      </c>
      <c r="C380" s="12" t="n">
        <v>1220000</v>
      </c>
      <c r="D380" s="26" t="s">
        <v>208</v>
      </c>
      <c r="E380" s="26" t="s">
        <v>77</v>
      </c>
      <c r="F380" s="12" t="n">
        <v>10000</v>
      </c>
      <c r="G380" s="26" t="n">
        <v>1</v>
      </c>
      <c r="H380" s="22" t="n">
        <v>1059.794635</v>
      </c>
    </row>
    <row r="381" customFormat="false" ht="15" hidden="false" customHeight="false" outlineLevel="0" collapsed="false">
      <c r="A381" s="26" t="n">
        <v>2</v>
      </c>
      <c r="B381" s="26" t="s">
        <v>229</v>
      </c>
      <c r="C381" s="12" t="n">
        <v>1220000</v>
      </c>
      <c r="D381" s="26" t="s">
        <v>208</v>
      </c>
      <c r="E381" s="26" t="s">
        <v>77</v>
      </c>
      <c r="F381" s="12" t="n">
        <v>10000</v>
      </c>
      <c r="G381" s="26" t="n">
        <v>2</v>
      </c>
      <c r="H381" s="22" t="n">
        <v>1064.36930899997</v>
      </c>
    </row>
    <row r="382" customFormat="false" ht="15" hidden="false" customHeight="false" outlineLevel="0" collapsed="false">
      <c r="A382" s="26" t="n">
        <v>2</v>
      </c>
      <c r="B382" s="26" t="s">
        <v>229</v>
      </c>
      <c r="C382" s="12" t="n">
        <v>1220000</v>
      </c>
      <c r="D382" s="26" t="s">
        <v>208</v>
      </c>
      <c r="E382" s="26" t="s">
        <v>77</v>
      </c>
      <c r="F382" s="12" t="n">
        <v>10000</v>
      </c>
      <c r="G382" s="26" t="n">
        <v>3</v>
      </c>
      <c r="H382" s="22" t="n">
        <v>1565.11346799994</v>
      </c>
    </row>
    <row r="383" customFormat="false" ht="15" hidden="false" customHeight="false" outlineLevel="0" collapsed="false">
      <c r="A383" s="26" t="n">
        <v>2</v>
      </c>
      <c r="B383" s="26" t="s">
        <v>229</v>
      </c>
      <c r="C383" s="12" t="n">
        <v>1220000</v>
      </c>
      <c r="D383" s="26" t="s">
        <v>208</v>
      </c>
      <c r="E383" s="26" t="s">
        <v>77</v>
      </c>
      <c r="F383" s="12" t="n">
        <v>10000</v>
      </c>
      <c r="G383" s="26" t="n">
        <v>4</v>
      </c>
      <c r="H383" s="22" t="n">
        <v>1024.19190899991</v>
      </c>
    </row>
    <row r="384" customFormat="false" ht="15" hidden="false" customHeight="false" outlineLevel="0" collapsed="false">
      <c r="A384" s="26" t="n">
        <v>2</v>
      </c>
      <c r="B384" s="26" t="s">
        <v>229</v>
      </c>
      <c r="C384" s="12" t="n">
        <v>1220000</v>
      </c>
      <c r="D384" s="26" t="s">
        <v>208</v>
      </c>
      <c r="E384" s="26" t="s">
        <v>77</v>
      </c>
      <c r="F384" s="12" t="n">
        <v>10000</v>
      </c>
      <c r="G384" s="26" t="n">
        <v>5</v>
      </c>
      <c r="H384" s="22" t="n">
        <v>1090.16885799997</v>
      </c>
    </row>
    <row r="385" customFormat="false" ht="15" hidden="false" customHeight="false" outlineLevel="0" collapsed="false">
      <c r="A385" s="26" t="n">
        <v>2</v>
      </c>
      <c r="B385" s="26" t="s">
        <v>229</v>
      </c>
      <c r="C385" s="12" t="n">
        <v>1220000</v>
      </c>
      <c r="D385" s="26" t="s">
        <v>208</v>
      </c>
      <c r="E385" s="26" t="s">
        <v>76</v>
      </c>
      <c r="F385" s="12" t="n">
        <v>100000</v>
      </c>
      <c r="G385" s="26" t="n">
        <v>1</v>
      </c>
      <c r="H385" s="22" t="n">
        <v>0.817040000015368</v>
      </c>
    </row>
    <row r="386" customFormat="false" ht="15" hidden="false" customHeight="false" outlineLevel="0" collapsed="false">
      <c r="A386" s="26" t="n">
        <v>2</v>
      </c>
      <c r="B386" s="26" t="s">
        <v>229</v>
      </c>
      <c r="C386" s="12" t="n">
        <v>1220000</v>
      </c>
      <c r="D386" s="26" t="s">
        <v>208</v>
      </c>
      <c r="E386" s="26" t="s">
        <v>76</v>
      </c>
      <c r="F386" s="12" t="n">
        <v>100000</v>
      </c>
      <c r="G386" s="26" t="n">
        <v>2</v>
      </c>
      <c r="H386" s="22" t="n">
        <v>0.773829999957343</v>
      </c>
    </row>
    <row r="387" customFormat="false" ht="15" hidden="false" customHeight="false" outlineLevel="0" collapsed="false">
      <c r="A387" s="26" t="n">
        <v>2</v>
      </c>
      <c r="B387" s="26" t="s">
        <v>229</v>
      </c>
      <c r="C387" s="12" t="n">
        <v>1220000</v>
      </c>
      <c r="D387" s="26" t="s">
        <v>208</v>
      </c>
      <c r="E387" s="26" t="s">
        <v>76</v>
      </c>
      <c r="F387" s="12" t="n">
        <v>100000</v>
      </c>
      <c r="G387" s="26" t="n">
        <v>3</v>
      </c>
      <c r="H387" s="22" t="n">
        <v>0.688673000013296</v>
      </c>
    </row>
    <row r="388" customFormat="false" ht="15" hidden="false" customHeight="false" outlineLevel="0" collapsed="false">
      <c r="A388" s="26" t="n">
        <v>2</v>
      </c>
      <c r="B388" s="26" t="s">
        <v>229</v>
      </c>
      <c r="C388" s="12" t="n">
        <v>1220000</v>
      </c>
      <c r="D388" s="26" t="s">
        <v>208</v>
      </c>
      <c r="E388" s="26" t="s">
        <v>76</v>
      </c>
      <c r="F388" s="12" t="n">
        <v>100000</v>
      </c>
      <c r="G388" s="26" t="n">
        <v>4</v>
      </c>
      <c r="H388" s="22" t="n">
        <v>0.646716999995078</v>
      </c>
    </row>
    <row r="389" customFormat="false" ht="15" hidden="false" customHeight="false" outlineLevel="0" collapsed="false">
      <c r="A389" s="26" t="n">
        <v>2</v>
      </c>
      <c r="B389" s="26" t="s">
        <v>229</v>
      </c>
      <c r="C389" s="12" t="n">
        <v>1220000</v>
      </c>
      <c r="D389" s="26" t="s">
        <v>208</v>
      </c>
      <c r="E389" s="26" t="s">
        <v>76</v>
      </c>
      <c r="F389" s="12" t="n">
        <v>100000</v>
      </c>
      <c r="G389" s="26" t="n">
        <v>5</v>
      </c>
      <c r="H389" s="22" t="n">
        <v>0.655279999932645</v>
      </c>
    </row>
    <row r="390" customFormat="false" ht="15" hidden="false" customHeight="false" outlineLevel="0" collapsed="false">
      <c r="A390" s="26" t="n">
        <v>2</v>
      </c>
      <c r="B390" s="26" t="s">
        <v>229</v>
      </c>
      <c r="C390" s="12" t="n">
        <v>1220000</v>
      </c>
      <c r="D390" s="26" t="s">
        <v>208</v>
      </c>
      <c r="E390" s="26" t="s">
        <v>77</v>
      </c>
      <c r="F390" s="12" t="n">
        <v>100000</v>
      </c>
      <c r="G390" s="26" t="n">
        <v>1</v>
      </c>
      <c r="H390" s="22" t="n">
        <v>1077.995837</v>
      </c>
    </row>
    <row r="391" customFormat="false" ht="15" hidden="false" customHeight="false" outlineLevel="0" collapsed="false">
      <c r="A391" s="26" t="n">
        <v>2</v>
      </c>
      <c r="B391" s="26" t="s">
        <v>229</v>
      </c>
      <c r="C391" s="12" t="n">
        <v>1220000</v>
      </c>
      <c r="D391" s="26" t="s">
        <v>208</v>
      </c>
      <c r="E391" s="26" t="s">
        <v>77</v>
      </c>
      <c r="F391" s="12" t="n">
        <v>100000</v>
      </c>
      <c r="G391" s="26" t="n">
        <v>2</v>
      </c>
      <c r="H391" s="22" t="n">
        <v>4938.92892199995</v>
      </c>
    </row>
    <row r="392" customFormat="false" ht="15" hidden="false" customHeight="false" outlineLevel="0" collapsed="false">
      <c r="A392" s="26" t="n">
        <v>2</v>
      </c>
      <c r="B392" s="26" t="s">
        <v>229</v>
      </c>
      <c r="C392" s="12" t="n">
        <v>1220000</v>
      </c>
      <c r="D392" s="26" t="s">
        <v>208</v>
      </c>
      <c r="E392" s="26" t="s">
        <v>77</v>
      </c>
      <c r="F392" s="12" t="n">
        <v>100000</v>
      </c>
      <c r="G392" s="26" t="n">
        <v>3</v>
      </c>
      <c r="H392" s="22" t="n">
        <v>5579.21577800005</v>
      </c>
    </row>
    <row r="393" customFormat="false" ht="15" hidden="false" customHeight="false" outlineLevel="0" collapsed="false">
      <c r="A393" s="26" t="n">
        <v>2</v>
      </c>
      <c r="B393" s="26" t="s">
        <v>229</v>
      </c>
      <c r="C393" s="12" t="n">
        <v>1220000</v>
      </c>
      <c r="D393" s="26" t="s">
        <v>208</v>
      </c>
      <c r="E393" s="26" t="s">
        <v>77</v>
      </c>
      <c r="F393" s="12" t="n">
        <v>100000</v>
      </c>
      <c r="G393" s="26" t="n">
        <v>4</v>
      </c>
      <c r="H393" s="22" t="n">
        <v>8065.38223100006</v>
      </c>
    </row>
    <row r="394" customFormat="false" ht="15" hidden="false" customHeight="false" outlineLevel="0" collapsed="false">
      <c r="A394" s="26" t="n">
        <v>2</v>
      </c>
      <c r="B394" s="26" t="s">
        <v>229</v>
      </c>
      <c r="C394" s="12" t="n">
        <v>1220000</v>
      </c>
      <c r="D394" s="26" t="s">
        <v>208</v>
      </c>
      <c r="E394" s="26" t="s">
        <v>77</v>
      </c>
      <c r="F394" s="12" t="n">
        <v>100000</v>
      </c>
      <c r="G394" s="26" t="n">
        <v>5</v>
      </c>
      <c r="H394" s="22" t="n">
        <v>1199.55495399995</v>
      </c>
    </row>
    <row r="395" customFormat="false" ht="15" hidden="false" customHeight="false" outlineLevel="0" collapsed="false">
      <c r="A395" s="26" t="n">
        <v>2</v>
      </c>
      <c r="B395" s="26" t="s">
        <v>229</v>
      </c>
      <c r="C395" s="12" t="n">
        <v>1220000</v>
      </c>
      <c r="D395" s="26" t="s">
        <v>208</v>
      </c>
      <c r="E395" s="26" t="s">
        <v>76</v>
      </c>
      <c r="F395" s="12" t="n">
        <v>1000000</v>
      </c>
      <c r="G395" s="26" t="n">
        <v>1</v>
      </c>
      <c r="H395" s="22" t="n">
        <v>0.780844000018988</v>
      </c>
    </row>
    <row r="396" customFormat="false" ht="15" hidden="false" customHeight="false" outlineLevel="0" collapsed="false">
      <c r="A396" s="26" t="n">
        <v>2</v>
      </c>
      <c r="B396" s="26" t="s">
        <v>229</v>
      </c>
      <c r="C396" s="12" t="n">
        <v>1220000</v>
      </c>
      <c r="D396" s="26" t="s">
        <v>208</v>
      </c>
      <c r="E396" s="26" t="s">
        <v>76</v>
      </c>
      <c r="F396" s="12" t="n">
        <v>1000000</v>
      </c>
      <c r="G396" s="26" t="n">
        <v>2</v>
      </c>
      <c r="H396" s="22" t="n">
        <v>0.713064999899871</v>
      </c>
    </row>
    <row r="397" customFormat="false" ht="15" hidden="false" customHeight="false" outlineLevel="0" collapsed="false">
      <c r="A397" s="26" t="n">
        <v>2</v>
      </c>
      <c r="B397" s="26" t="s">
        <v>229</v>
      </c>
      <c r="C397" s="12" t="n">
        <v>1220000</v>
      </c>
      <c r="D397" s="26" t="s">
        <v>208</v>
      </c>
      <c r="E397" s="26" t="s">
        <v>76</v>
      </c>
      <c r="F397" s="12" t="n">
        <v>1000000</v>
      </c>
      <c r="G397" s="26" t="n">
        <v>3</v>
      </c>
      <c r="H397" s="22" t="n">
        <v>0.703180000073189</v>
      </c>
    </row>
    <row r="398" customFormat="false" ht="15" hidden="false" customHeight="false" outlineLevel="0" collapsed="false">
      <c r="A398" s="26" t="n">
        <v>2</v>
      </c>
      <c r="B398" s="26" t="s">
        <v>229</v>
      </c>
      <c r="C398" s="12" t="n">
        <v>1220000</v>
      </c>
      <c r="D398" s="26" t="s">
        <v>208</v>
      </c>
      <c r="E398" s="26" t="s">
        <v>76</v>
      </c>
      <c r="F398" s="12" t="n">
        <v>1000000</v>
      </c>
      <c r="G398" s="26" t="n">
        <v>4</v>
      </c>
      <c r="H398" s="22" t="n">
        <v>0.990492999903836</v>
      </c>
    </row>
    <row r="399" customFormat="false" ht="15" hidden="false" customHeight="false" outlineLevel="0" collapsed="false">
      <c r="A399" s="26" t="n">
        <v>2</v>
      </c>
      <c r="B399" s="26" t="s">
        <v>229</v>
      </c>
      <c r="C399" s="12" t="n">
        <v>1220000</v>
      </c>
      <c r="D399" s="26" t="s">
        <v>208</v>
      </c>
      <c r="E399" s="26" t="s">
        <v>76</v>
      </c>
      <c r="F399" s="12" t="n">
        <v>1000000</v>
      </c>
      <c r="G399" s="26" t="n">
        <v>5</v>
      </c>
      <c r="H399" s="22" t="n">
        <v>0.767809999956626</v>
      </c>
    </row>
    <row r="400" customFormat="false" ht="15" hidden="false" customHeight="false" outlineLevel="0" collapsed="false">
      <c r="A400" s="26" t="n">
        <v>2</v>
      </c>
      <c r="B400" s="26" t="s">
        <v>229</v>
      </c>
      <c r="C400" s="12" t="n">
        <v>1220000</v>
      </c>
      <c r="D400" s="26" t="s">
        <v>208</v>
      </c>
      <c r="E400" s="26" t="s">
        <v>77</v>
      </c>
      <c r="F400" s="12" t="n">
        <v>1000000</v>
      </c>
      <c r="G400" s="26" t="n">
        <v>1</v>
      </c>
      <c r="H400" s="22" t="n">
        <v>1009.51774199996</v>
      </c>
    </row>
    <row r="401" customFormat="false" ht="15" hidden="false" customHeight="false" outlineLevel="0" collapsed="false">
      <c r="A401" s="26" t="n">
        <v>2</v>
      </c>
      <c r="B401" s="26" t="s">
        <v>229</v>
      </c>
      <c r="C401" s="12" t="n">
        <v>1220000</v>
      </c>
      <c r="D401" s="26" t="s">
        <v>208</v>
      </c>
      <c r="E401" s="26" t="s">
        <v>77</v>
      </c>
      <c r="F401" s="12" t="n">
        <v>1000000</v>
      </c>
      <c r="G401" s="26" t="n">
        <v>2</v>
      </c>
      <c r="H401" s="22" t="n">
        <v>1090.20156600002</v>
      </c>
    </row>
    <row r="402" customFormat="false" ht="15" hidden="false" customHeight="false" outlineLevel="0" collapsed="false">
      <c r="A402" s="26" t="n">
        <v>2</v>
      </c>
      <c r="B402" s="26" t="s">
        <v>229</v>
      </c>
      <c r="C402" s="12" t="n">
        <v>1220000</v>
      </c>
      <c r="D402" s="26" t="s">
        <v>208</v>
      </c>
      <c r="E402" s="26" t="s">
        <v>77</v>
      </c>
      <c r="F402" s="12" t="n">
        <v>1000000</v>
      </c>
      <c r="G402" s="26" t="n">
        <v>3</v>
      </c>
      <c r="H402" s="22" t="n">
        <v>1298.73307800006</v>
      </c>
    </row>
    <row r="403" customFormat="false" ht="15" hidden="false" customHeight="false" outlineLevel="0" collapsed="false">
      <c r="A403" s="26" t="n">
        <v>2</v>
      </c>
      <c r="B403" s="26" t="s">
        <v>229</v>
      </c>
      <c r="C403" s="12" t="n">
        <v>1220000</v>
      </c>
      <c r="D403" s="26" t="s">
        <v>208</v>
      </c>
      <c r="E403" s="26" t="s">
        <v>77</v>
      </c>
      <c r="F403" s="12" t="n">
        <v>1000000</v>
      </c>
      <c r="G403" s="26" t="n">
        <v>4</v>
      </c>
      <c r="H403" s="22" t="n">
        <v>1477.82212999994</v>
      </c>
    </row>
    <row r="404" customFormat="false" ht="15" hidden="false" customHeight="false" outlineLevel="0" collapsed="false">
      <c r="A404" s="26" t="n">
        <v>2</v>
      </c>
      <c r="B404" s="26" t="s">
        <v>229</v>
      </c>
      <c r="C404" s="12" t="n">
        <v>1220000</v>
      </c>
      <c r="D404" s="26" t="s">
        <v>208</v>
      </c>
      <c r="E404" s="26" t="s">
        <v>77</v>
      </c>
      <c r="F404" s="12" t="n">
        <v>1000000</v>
      </c>
      <c r="G404" s="26" t="n">
        <v>5</v>
      </c>
      <c r="H404" s="22" t="n">
        <v>1330.47497199993</v>
      </c>
    </row>
    <row r="405" customFormat="false" ht="15" hidden="false" customHeight="false" outlineLevel="0" collapsed="false">
      <c r="A405" s="26" t="n">
        <v>3</v>
      </c>
      <c r="B405" s="26" t="s">
        <v>229</v>
      </c>
      <c r="C405" s="12" t="n">
        <v>1220000</v>
      </c>
      <c r="D405" s="26" t="s">
        <v>208</v>
      </c>
      <c r="E405" s="26" t="s">
        <v>76</v>
      </c>
      <c r="F405" s="12" t="n">
        <v>10</v>
      </c>
      <c r="G405" s="26" t="n">
        <v>1</v>
      </c>
      <c r="H405" s="22" t="n">
        <v>1.38537600003019</v>
      </c>
    </row>
    <row r="406" customFormat="false" ht="15" hidden="false" customHeight="false" outlineLevel="0" collapsed="false">
      <c r="A406" s="26" t="n">
        <v>3</v>
      </c>
      <c r="B406" s="26" t="s">
        <v>229</v>
      </c>
      <c r="C406" s="12" t="n">
        <v>1220000</v>
      </c>
      <c r="D406" s="26" t="s">
        <v>208</v>
      </c>
      <c r="E406" s="26" t="s">
        <v>76</v>
      </c>
      <c r="F406" s="12" t="n">
        <v>10</v>
      </c>
      <c r="G406" s="26" t="n">
        <v>2</v>
      </c>
      <c r="H406" s="22" t="n">
        <v>0.658090999991146</v>
      </c>
    </row>
    <row r="407" customFormat="false" ht="15" hidden="false" customHeight="false" outlineLevel="0" collapsed="false">
      <c r="A407" s="26" t="n">
        <v>3</v>
      </c>
      <c r="B407" s="26" t="s">
        <v>229</v>
      </c>
      <c r="C407" s="12" t="n">
        <v>1220000</v>
      </c>
      <c r="D407" s="26" t="s">
        <v>208</v>
      </c>
      <c r="E407" s="26" t="s">
        <v>76</v>
      </c>
      <c r="F407" s="12" t="n">
        <v>10</v>
      </c>
      <c r="G407" s="26" t="n">
        <v>3</v>
      </c>
      <c r="H407" s="22" t="n">
        <v>0.591845000030844</v>
      </c>
    </row>
    <row r="408" customFormat="false" ht="15" hidden="false" customHeight="false" outlineLevel="0" collapsed="false">
      <c r="A408" s="26" t="n">
        <v>3</v>
      </c>
      <c r="B408" s="26" t="s">
        <v>229</v>
      </c>
      <c r="C408" s="12" t="n">
        <v>1220000</v>
      </c>
      <c r="D408" s="26" t="s">
        <v>208</v>
      </c>
      <c r="E408" s="26" t="s">
        <v>76</v>
      </c>
      <c r="F408" s="12" t="n">
        <v>10</v>
      </c>
      <c r="G408" s="26" t="n">
        <v>4</v>
      </c>
      <c r="H408" s="22" t="n">
        <v>0.69355200002974</v>
      </c>
    </row>
    <row r="409" customFormat="false" ht="15" hidden="false" customHeight="false" outlineLevel="0" collapsed="false">
      <c r="A409" s="26" t="n">
        <v>3</v>
      </c>
      <c r="B409" s="26" t="s">
        <v>229</v>
      </c>
      <c r="C409" s="12" t="n">
        <v>1220000</v>
      </c>
      <c r="D409" s="26" t="s">
        <v>208</v>
      </c>
      <c r="E409" s="26" t="s">
        <v>76</v>
      </c>
      <c r="F409" s="12" t="n">
        <v>10</v>
      </c>
      <c r="G409" s="26" t="n">
        <v>5</v>
      </c>
      <c r="H409" s="22" t="n">
        <v>0.624971999968693</v>
      </c>
    </row>
    <row r="410" customFormat="false" ht="15" hidden="false" customHeight="false" outlineLevel="0" collapsed="false">
      <c r="A410" s="26" t="n">
        <v>3</v>
      </c>
      <c r="B410" s="26" t="s">
        <v>229</v>
      </c>
      <c r="C410" s="12" t="n">
        <v>1220000</v>
      </c>
      <c r="D410" s="26" t="s">
        <v>208</v>
      </c>
      <c r="E410" s="26" t="s">
        <v>77</v>
      </c>
      <c r="F410" s="12" t="n">
        <v>10</v>
      </c>
      <c r="G410" s="26" t="n">
        <v>1</v>
      </c>
      <c r="H410" s="22" t="n">
        <v>1283.6068229999</v>
      </c>
    </row>
    <row r="411" customFormat="false" ht="15" hidden="false" customHeight="false" outlineLevel="0" collapsed="false">
      <c r="A411" s="26" t="n">
        <v>3</v>
      </c>
      <c r="B411" s="26" t="s">
        <v>229</v>
      </c>
      <c r="C411" s="12" t="n">
        <v>1220000</v>
      </c>
      <c r="D411" s="26" t="s">
        <v>208</v>
      </c>
      <c r="E411" s="26" t="s">
        <v>77</v>
      </c>
      <c r="F411" s="12" t="n">
        <v>10</v>
      </c>
      <c r="G411" s="26" t="n">
        <v>2</v>
      </c>
      <c r="H411" s="22" t="n">
        <v>1083.43858399996</v>
      </c>
    </row>
    <row r="412" customFormat="false" ht="15" hidden="false" customHeight="false" outlineLevel="0" collapsed="false">
      <c r="A412" s="26" t="n">
        <v>3</v>
      </c>
      <c r="B412" s="26" t="s">
        <v>229</v>
      </c>
      <c r="C412" s="12" t="n">
        <v>1220000</v>
      </c>
      <c r="D412" s="26" t="s">
        <v>208</v>
      </c>
      <c r="E412" s="26" t="s">
        <v>77</v>
      </c>
      <c r="F412" s="12" t="n">
        <v>10</v>
      </c>
      <c r="G412" s="26" t="n">
        <v>3</v>
      </c>
      <c r="H412" s="22" t="n">
        <v>962.910900999987</v>
      </c>
    </row>
    <row r="413" customFormat="false" ht="15" hidden="false" customHeight="false" outlineLevel="0" collapsed="false">
      <c r="A413" s="26" t="n">
        <v>3</v>
      </c>
      <c r="B413" s="26" t="s">
        <v>229</v>
      </c>
      <c r="C413" s="12" t="n">
        <v>1220000</v>
      </c>
      <c r="D413" s="26" t="s">
        <v>208</v>
      </c>
      <c r="E413" s="26" t="s">
        <v>77</v>
      </c>
      <c r="F413" s="12" t="n">
        <v>10</v>
      </c>
      <c r="G413" s="26" t="n">
        <v>4</v>
      </c>
      <c r="H413" s="22" t="n">
        <v>979.999666000026</v>
      </c>
    </row>
    <row r="414" customFormat="false" ht="15" hidden="false" customHeight="false" outlineLevel="0" collapsed="false">
      <c r="A414" s="26" t="n">
        <v>3</v>
      </c>
      <c r="B414" s="26" t="s">
        <v>229</v>
      </c>
      <c r="C414" s="12" t="n">
        <v>1220000</v>
      </c>
      <c r="D414" s="26" t="s">
        <v>208</v>
      </c>
      <c r="E414" s="26" t="s">
        <v>77</v>
      </c>
      <c r="F414" s="12" t="n">
        <v>10</v>
      </c>
      <c r="G414" s="26" t="n">
        <v>5</v>
      </c>
      <c r="H414" s="22" t="n">
        <v>980.394094000076</v>
      </c>
    </row>
    <row r="415" customFormat="false" ht="15" hidden="false" customHeight="false" outlineLevel="0" collapsed="false">
      <c r="A415" s="26" t="n">
        <v>3</v>
      </c>
      <c r="B415" s="26" t="s">
        <v>229</v>
      </c>
      <c r="C415" s="12" t="n">
        <v>1220000</v>
      </c>
      <c r="D415" s="26" t="s">
        <v>208</v>
      </c>
      <c r="E415" s="26" t="s">
        <v>76</v>
      </c>
      <c r="F415" s="12" t="n">
        <v>1000</v>
      </c>
      <c r="G415" s="26" t="n">
        <v>1</v>
      </c>
      <c r="H415" s="22" t="n">
        <v>0.679396000009547</v>
      </c>
    </row>
    <row r="416" customFormat="false" ht="15" hidden="false" customHeight="false" outlineLevel="0" collapsed="false">
      <c r="A416" s="26" t="n">
        <v>3</v>
      </c>
      <c r="B416" s="26" t="s">
        <v>229</v>
      </c>
      <c r="C416" s="12" t="n">
        <v>1220000</v>
      </c>
      <c r="D416" s="26" t="s">
        <v>208</v>
      </c>
      <c r="E416" s="26" t="s">
        <v>76</v>
      </c>
      <c r="F416" s="12" t="n">
        <v>1000</v>
      </c>
      <c r="G416" s="26" t="n">
        <v>2</v>
      </c>
      <c r="H416" s="22" t="n">
        <v>0.580557000034787</v>
      </c>
    </row>
    <row r="417" customFormat="false" ht="15" hidden="false" customHeight="false" outlineLevel="0" collapsed="false">
      <c r="A417" s="26" t="n">
        <v>3</v>
      </c>
      <c r="B417" s="26" t="s">
        <v>229</v>
      </c>
      <c r="C417" s="12" t="n">
        <v>1220000</v>
      </c>
      <c r="D417" s="26" t="s">
        <v>208</v>
      </c>
      <c r="E417" s="26" t="s">
        <v>76</v>
      </c>
      <c r="F417" s="12" t="n">
        <v>1000</v>
      </c>
      <c r="G417" s="26" t="n">
        <v>3</v>
      </c>
      <c r="H417" s="22" t="n">
        <v>0.616760999946564</v>
      </c>
    </row>
    <row r="418" customFormat="false" ht="15" hidden="false" customHeight="false" outlineLevel="0" collapsed="false">
      <c r="A418" s="26" t="n">
        <v>3</v>
      </c>
      <c r="B418" s="26" t="s">
        <v>229</v>
      </c>
      <c r="C418" s="12" t="n">
        <v>1220000</v>
      </c>
      <c r="D418" s="26" t="s">
        <v>208</v>
      </c>
      <c r="E418" s="26" t="s">
        <v>76</v>
      </c>
      <c r="F418" s="12" t="n">
        <v>1000</v>
      </c>
      <c r="G418" s="26" t="n">
        <v>4</v>
      </c>
      <c r="H418" s="22" t="n">
        <v>0.604935999945155</v>
      </c>
    </row>
    <row r="419" customFormat="false" ht="15" hidden="false" customHeight="false" outlineLevel="0" collapsed="false">
      <c r="A419" s="26" t="n">
        <v>3</v>
      </c>
      <c r="B419" s="26" t="s">
        <v>229</v>
      </c>
      <c r="C419" s="12" t="n">
        <v>1220000</v>
      </c>
      <c r="D419" s="26" t="s">
        <v>208</v>
      </c>
      <c r="E419" s="26" t="s">
        <v>76</v>
      </c>
      <c r="F419" s="12" t="n">
        <v>1000</v>
      </c>
      <c r="G419" s="26" t="n">
        <v>5</v>
      </c>
      <c r="H419" s="22" t="n">
        <v>0.947538999980679</v>
      </c>
    </row>
    <row r="420" customFormat="false" ht="15" hidden="false" customHeight="false" outlineLevel="0" collapsed="false">
      <c r="A420" s="26" t="n">
        <v>3</v>
      </c>
      <c r="B420" s="26" t="s">
        <v>229</v>
      </c>
      <c r="C420" s="12" t="n">
        <v>1220000</v>
      </c>
      <c r="D420" s="26" t="s">
        <v>208</v>
      </c>
      <c r="E420" s="26" t="s">
        <v>77</v>
      </c>
      <c r="F420" s="12" t="n">
        <v>1000</v>
      </c>
      <c r="G420" s="26" t="n">
        <v>1</v>
      </c>
      <c r="H420" s="22" t="n">
        <v>924.131801000044</v>
      </c>
    </row>
    <row r="421" customFormat="false" ht="15" hidden="false" customHeight="false" outlineLevel="0" collapsed="false">
      <c r="A421" s="26" t="n">
        <v>3</v>
      </c>
      <c r="B421" s="26" t="s">
        <v>229</v>
      </c>
      <c r="C421" s="12" t="n">
        <v>1220000</v>
      </c>
      <c r="D421" s="26" t="s">
        <v>208</v>
      </c>
      <c r="E421" s="26" t="s">
        <v>77</v>
      </c>
      <c r="F421" s="12" t="n">
        <v>1000</v>
      </c>
      <c r="G421" s="26" t="n">
        <v>2</v>
      </c>
      <c r="H421" s="22" t="n">
        <v>1004.20146799991</v>
      </c>
    </row>
    <row r="422" customFormat="false" ht="15" hidden="false" customHeight="false" outlineLevel="0" collapsed="false">
      <c r="A422" s="26" t="n">
        <v>3</v>
      </c>
      <c r="B422" s="26" t="s">
        <v>229</v>
      </c>
      <c r="C422" s="12" t="n">
        <v>1220000</v>
      </c>
      <c r="D422" s="26" t="s">
        <v>208</v>
      </c>
      <c r="E422" s="26" t="s">
        <v>77</v>
      </c>
      <c r="F422" s="12" t="n">
        <v>1000</v>
      </c>
      <c r="G422" s="26" t="n">
        <v>3</v>
      </c>
      <c r="H422" s="22" t="n">
        <v>963.794381000071</v>
      </c>
    </row>
    <row r="423" customFormat="false" ht="15" hidden="false" customHeight="false" outlineLevel="0" collapsed="false">
      <c r="A423" s="26" t="n">
        <v>3</v>
      </c>
      <c r="B423" s="26" t="s">
        <v>229</v>
      </c>
      <c r="C423" s="12" t="n">
        <v>1220000</v>
      </c>
      <c r="D423" s="26" t="s">
        <v>208</v>
      </c>
      <c r="E423" s="26" t="s">
        <v>77</v>
      </c>
      <c r="F423" s="12" t="n">
        <v>1000</v>
      </c>
      <c r="G423" s="26" t="n">
        <v>4</v>
      </c>
      <c r="H423" s="22" t="n">
        <v>972.737832000007</v>
      </c>
    </row>
    <row r="424" customFormat="false" ht="15" hidden="false" customHeight="false" outlineLevel="0" collapsed="false">
      <c r="A424" s="26" t="n">
        <v>3</v>
      </c>
      <c r="B424" s="26" t="s">
        <v>229</v>
      </c>
      <c r="C424" s="12" t="n">
        <v>1220000</v>
      </c>
      <c r="D424" s="26" t="s">
        <v>208</v>
      </c>
      <c r="E424" s="26" t="s">
        <v>77</v>
      </c>
      <c r="F424" s="12" t="n">
        <v>1000</v>
      </c>
      <c r="G424" s="26" t="n">
        <v>5</v>
      </c>
      <c r="H424" s="22" t="n">
        <v>1011.44206899994</v>
      </c>
    </row>
    <row r="425" customFormat="false" ht="15" hidden="false" customHeight="false" outlineLevel="0" collapsed="false">
      <c r="A425" s="26" t="n">
        <v>3</v>
      </c>
      <c r="B425" s="26" t="s">
        <v>229</v>
      </c>
      <c r="C425" s="12" t="n">
        <v>1220000</v>
      </c>
      <c r="D425" s="26" t="s">
        <v>208</v>
      </c>
      <c r="E425" s="26" t="s">
        <v>76</v>
      </c>
      <c r="F425" s="12" t="n">
        <v>10000</v>
      </c>
      <c r="G425" s="26" t="n">
        <v>1</v>
      </c>
      <c r="H425" s="22" t="n">
        <v>0.730293999936293</v>
      </c>
    </row>
    <row r="426" customFormat="false" ht="15" hidden="false" customHeight="false" outlineLevel="0" collapsed="false">
      <c r="A426" s="26" t="n">
        <v>3</v>
      </c>
      <c r="B426" s="26" t="s">
        <v>229</v>
      </c>
      <c r="C426" s="12" t="n">
        <v>1220000</v>
      </c>
      <c r="D426" s="26" t="s">
        <v>208</v>
      </c>
      <c r="E426" s="26" t="s">
        <v>76</v>
      </c>
      <c r="F426" s="12" t="n">
        <v>10000</v>
      </c>
      <c r="G426" s="26" t="n">
        <v>2</v>
      </c>
      <c r="H426" s="22" t="n">
        <v>0.627483000016582</v>
      </c>
    </row>
    <row r="427" customFormat="false" ht="15" hidden="false" customHeight="false" outlineLevel="0" collapsed="false">
      <c r="A427" s="26" t="n">
        <v>3</v>
      </c>
      <c r="B427" s="26" t="s">
        <v>229</v>
      </c>
      <c r="C427" s="12" t="n">
        <v>1220000</v>
      </c>
      <c r="D427" s="26" t="s">
        <v>208</v>
      </c>
      <c r="E427" s="26" t="s">
        <v>76</v>
      </c>
      <c r="F427" s="12" t="n">
        <v>10000</v>
      </c>
      <c r="G427" s="26" t="n">
        <v>3</v>
      </c>
      <c r="H427" s="22" t="n">
        <v>0.595249999946645</v>
      </c>
    </row>
    <row r="428" customFormat="false" ht="15" hidden="false" customHeight="false" outlineLevel="0" collapsed="false">
      <c r="A428" s="26" t="n">
        <v>3</v>
      </c>
      <c r="B428" s="26" t="s">
        <v>229</v>
      </c>
      <c r="C428" s="12" t="n">
        <v>1220000</v>
      </c>
      <c r="D428" s="26" t="s">
        <v>208</v>
      </c>
      <c r="E428" s="26" t="s">
        <v>76</v>
      </c>
      <c r="F428" s="12" t="n">
        <v>10000</v>
      </c>
      <c r="G428" s="26" t="n">
        <v>4</v>
      </c>
      <c r="H428" s="22" t="n">
        <v>0.979306999965957</v>
      </c>
    </row>
    <row r="429" customFormat="false" ht="15" hidden="false" customHeight="false" outlineLevel="0" collapsed="false">
      <c r="A429" s="26" t="n">
        <v>3</v>
      </c>
      <c r="B429" s="26" t="s">
        <v>229</v>
      </c>
      <c r="C429" s="12" t="n">
        <v>1220000</v>
      </c>
      <c r="D429" s="26" t="s">
        <v>208</v>
      </c>
      <c r="E429" s="26" t="s">
        <v>76</v>
      </c>
      <c r="F429" s="12" t="n">
        <v>10000</v>
      </c>
      <c r="G429" s="26" t="n">
        <v>5</v>
      </c>
      <c r="H429" s="22" t="n">
        <v>0.693052999963584</v>
      </c>
    </row>
    <row r="430" customFormat="false" ht="15" hidden="false" customHeight="false" outlineLevel="0" collapsed="false">
      <c r="A430" s="26" t="n">
        <v>3</v>
      </c>
      <c r="B430" s="26" t="s">
        <v>229</v>
      </c>
      <c r="C430" s="12" t="n">
        <v>1220000</v>
      </c>
      <c r="D430" s="26" t="s">
        <v>208</v>
      </c>
      <c r="E430" s="26" t="s">
        <v>77</v>
      </c>
      <c r="F430" s="12" t="n">
        <v>10000</v>
      </c>
      <c r="G430" s="26" t="n">
        <v>1</v>
      </c>
      <c r="H430" s="22" t="n">
        <v>919.074643000045</v>
      </c>
    </row>
    <row r="431" customFormat="false" ht="15" hidden="false" customHeight="false" outlineLevel="0" collapsed="false">
      <c r="A431" s="26" t="n">
        <v>3</v>
      </c>
      <c r="B431" s="26" t="s">
        <v>229</v>
      </c>
      <c r="C431" s="12" t="n">
        <v>1220000</v>
      </c>
      <c r="D431" s="26" t="s">
        <v>208</v>
      </c>
      <c r="E431" s="26" t="s">
        <v>77</v>
      </c>
      <c r="F431" s="12" t="n">
        <v>10000</v>
      </c>
      <c r="G431" s="26" t="n">
        <v>2</v>
      </c>
      <c r="H431" s="22" t="n">
        <v>1002.92284099999</v>
      </c>
    </row>
    <row r="432" customFormat="false" ht="15" hidden="false" customHeight="false" outlineLevel="0" collapsed="false">
      <c r="A432" s="26" t="n">
        <v>3</v>
      </c>
      <c r="B432" s="26" t="s">
        <v>229</v>
      </c>
      <c r="C432" s="12" t="n">
        <v>1220000</v>
      </c>
      <c r="D432" s="26" t="s">
        <v>208</v>
      </c>
      <c r="E432" s="26" t="s">
        <v>77</v>
      </c>
      <c r="F432" s="12" t="n">
        <v>10000</v>
      </c>
      <c r="G432" s="26" t="n">
        <v>3</v>
      </c>
      <c r="H432" s="22" t="n">
        <v>922.332852000068</v>
      </c>
    </row>
    <row r="433" customFormat="false" ht="15" hidden="false" customHeight="false" outlineLevel="0" collapsed="false">
      <c r="A433" s="26" t="n">
        <v>3</v>
      </c>
      <c r="B433" s="26" t="s">
        <v>229</v>
      </c>
      <c r="C433" s="12" t="n">
        <v>1220000</v>
      </c>
      <c r="D433" s="26" t="s">
        <v>208</v>
      </c>
      <c r="E433" s="26" t="s">
        <v>77</v>
      </c>
      <c r="F433" s="12" t="n">
        <v>10000</v>
      </c>
      <c r="G433" s="26" t="n">
        <v>4</v>
      </c>
      <c r="H433" s="22" t="n">
        <v>956.609151000066</v>
      </c>
    </row>
    <row r="434" customFormat="false" ht="15" hidden="false" customHeight="false" outlineLevel="0" collapsed="false">
      <c r="A434" s="26" t="n">
        <v>3</v>
      </c>
      <c r="B434" s="26" t="s">
        <v>229</v>
      </c>
      <c r="C434" s="12" t="n">
        <v>1220000</v>
      </c>
      <c r="D434" s="26" t="s">
        <v>208</v>
      </c>
      <c r="E434" s="26" t="s">
        <v>77</v>
      </c>
      <c r="F434" s="12" t="n">
        <v>10000</v>
      </c>
      <c r="G434" s="26" t="n">
        <v>5</v>
      </c>
      <c r="H434" s="22" t="n">
        <v>937.710111999991</v>
      </c>
    </row>
    <row r="435" customFormat="false" ht="15" hidden="false" customHeight="false" outlineLevel="0" collapsed="false">
      <c r="A435" s="26" t="n">
        <v>3</v>
      </c>
      <c r="B435" s="26" t="s">
        <v>229</v>
      </c>
      <c r="C435" s="12" t="n">
        <v>1220000</v>
      </c>
      <c r="D435" s="26" t="s">
        <v>208</v>
      </c>
      <c r="E435" s="26" t="s">
        <v>76</v>
      </c>
      <c r="F435" s="12" t="n">
        <v>100000</v>
      </c>
      <c r="G435" s="26" t="n">
        <v>1</v>
      </c>
      <c r="H435" s="22" t="n">
        <v>0.647615999923801</v>
      </c>
    </row>
    <row r="436" customFormat="false" ht="15" hidden="false" customHeight="false" outlineLevel="0" collapsed="false">
      <c r="A436" s="26" t="n">
        <v>3</v>
      </c>
      <c r="B436" s="26" t="s">
        <v>229</v>
      </c>
      <c r="C436" s="12" t="n">
        <v>1220000</v>
      </c>
      <c r="D436" s="26" t="s">
        <v>208</v>
      </c>
      <c r="E436" s="26" t="s">
        <v>76</v>
      </c>
      <c r="F436" s="12" t="n">
        <v>100000</v>
      </c>
      <c r="G436" s="26" t="n">
        <v>2</v>
      </c>
      <c r="H436" s="22" t="n">
        <v>0.594672000033825</v>
      </c>
    </row>
    <row r="437" customFormat="false" ht="15" hidden="false" customHeight="false" outlineLevel="0" collapsed="false">
      <c r="A437" s="26" t="n">
        <v>3</v>
      </c>
      <c r="B437" s="26" t="s">
        <v>229</v>
      </c>
      <c r="C437" s="12" t="n">
        <v>1220000</v>
      </c>
      <c r="D437" s="26" t="s">
        <v>208</v>
      </c>
      <c r="E437" s="26" t="s">
        <v>76</v>
      </c>
      <c r="F437" s="12" t="n">
        <v>100000</v>
      </c>
      <c r="G437" s="26" t="n">
        <v>3</v>
      </c>
      <c r="H437" s="22" t="n">
        <v>0.617803999944044</v>
      </c>
    </row>
    <row r="438" customFormat="false" ht="15" hidden="false" customHeight="false" outlineLevel="0" collapsed="false">
      <c r="A438" s="26" t="n">
        <v>3</v>
      </c>
      <c r="B438" s="26" t="s">
        <v>229</v>
      </c>
      <c r="C438" s="12" t="n">
        <v>1220000</v>
      </c>
      <c r="D438" s="26" t="s">
        <v>208</v>
      </c>
      <c r="E438" s="26" t="s">
        <v>76</v>
      </c>
      <c r="F438" s="12" t="n">
        <v>100000</v>
      </c>
      <c r="G438" s="26" t="n">
        <v>4</v>
      </c>
      <c r="H438" s="22" t="n">
        <v>0.62653500003762</v>
      </c>
    </row>
    <row r="439" customFormat="false" ht="15" hidden="false" customHeight="false" outlineLevel="0" collapsed="false">
      <c r="A439" s="26" t="n">
        <v>3</v>
      </c>
      <c r="B439" s="26" t="s">
        <v>229</v>
      </c>
      <c r="C439" s="12" t="n">
        <v>1220000</v>
      </c>
      <c r="D439" s="26" t="s">
        <v>208</v>
      </c>
      <c r="E439" s="26" t="s">
        <v>76</v>
      </c>
      <c r="F439" s="12" t="n">
        <v>100000</v>
      </c>
      <c r="G439" s="26" t="n">
        <v>5</v>
      </c>
      <c r="H439" s="22" t="n">
        <v>0.638793000007354</v>
      </c>
    </row>
    <row r="440" customFormat="false" ht="15" hidden="false" customHeight="false" outlineLevel="0" collapsed="false">
      <c r="A440" s="26" t="n">
        <v>3</v>
      </c>
      <c r="B440" s="26" t="s">
        <v>229</v>
      </c>
      <c r="C440" s="12" t="n">
        <v>1220000</v>
      </c>
      <c r="D440" s="26" t="s">
        <v>208</v>
      </c>
      <c r="E440" s="26" t="s">
        <v>77</v>
      </c>
      <c r="F440" s="12" t="n">
        <v>100000</v>
      </c>
      <c r="G440" s="26" t="n">
        <v>1</v>
      </c>
      <c r="H440" s="22" t="n">
        <v>931.625124000107</v>
      </c>
    </row>
    <row r="441" customFormat="false" ht="15" hidden="false" customHeight="false" outlineLevel="0" collapsed="false">
      <c r="A441" s="26" t="n">
        <v>3</v>
      </c>
      <c r="B441" s="26" t="s">
        <v>229</v>
      </c>
      <c r="C441" s="12" t="n">
        <v>1220000</v>
      </c>
      <c r="D441" s="26" t="s">
        <v>208</v>
      </c>
      <c r="E441" s="26" t="s">
        <v>77</v>
      </c>
      <c r="F441" s="12" t="n">
        <v>100000</v>
      </c>
      <c r="G441" s="26" t="n">
        <v>2</v>
      </c>
      <c r="H441" s="22" t="n">
        <v>992.189101000008</v>
      </c>
    </row>
    <row r="442" customFormat="false" ht="15" hidden="false" customHeight="false" outlineLevel="0" collapsed="false">
      <c r="A442" s="26" t="n">
        <v>3</v>
      </c>
      <c r="B442" s="26" t="s">
        <v>229</v>
      </c>
      <c r="C442" s="12" t="n">
        <v>1220000</v>
      </c>
      <c r="D442" s="26" t="s">
        <v>208</v>
      </c>
      <c r="E442" s="26" t="s">
        <v>77</v>
      </c>
      <c r="F442" s="12" t="n">
        <v>100000</v>
      </c>
      <c r="G442" s="26" t="n">
        <v>3</v>
      </c>
      <c r="H442" s="22" t="n">
        <v>1038.11256899996</v>
      </c>
    </row>
    <row r="443" customFormat="false" ht="15" hidden="false" customHeight="false" outlineLevel="0" collapsed="false">
      <c r="A443" s="26" t="n">
        <v>3</v>
      </c>
      <c r="B443" s="26" t="s">
        <v>229</v>
      </c>
      <c r="C443" s="12" t="n">
        <v>1220000</v>
      </c>
      <c r="D443" s="26" t="s">
        <v>208</v>
      </c>
      <c r="E443" s="26" t="s">
        <v>77</v>
      </c>
      <c r="F443" s="12" t="n">
        <v>100000</v>
      </c>
      <c r="G443" s="26" t="n">
        <v>4</v>
      </c>
      <c r="H443" s="22" t="n">
        <v>907.308444000023</v>
      </c>
    </row>
    <row r="444" customFormat="false" ht="15" hidden="false" customHeight="false" outlineLevel="0" collapsed="false">
      <c r="A444" s="26" t="n">
        <v>3</v>
      </c>
      <c r="B444" s="26" t="s">
        <v>229</v>
      </c>
      <c r="C444" s="12" t="n">
        <v>1220000</v>
      </c>
      <c r="D444" s="26" t="s">
        <v>208</v>
      </c>
      <c r="E444" s="26" t="s">
        <v>77</v>
      </c>
      <c r="F444" s="12" t="n">
        <v>100000</v>
      </c>
      <c r="G444" s="26" t="n">
        <v>5</v>
      </c>
      <c r="H444" s="22" t="n">
        <v>983.182667999927</v>
      </c>
    </row>
    <row r="445" customFormat="false" ht="15" hidden="false" customHeight="false" outlineLevel="0" collapsed="false">
      <c r="A445" s="26" t="n">
        <v>3</v>
      </c>
      <c r="B445" s="26" t="s">
        <v>229</v>
      </c>
      <c r="C445" s="12" t="n">
        <v>1220000</v>
      </c>
      <c r="D445" s="26" t="s">
        <v>208</v>
      </c>
      <c r="E445" s="26" t="s">
        <v>76</v>
      </c>
      <c r="F445" s="12" t="n">
        <v>1000000</v>
      </c>
      <c r="G445" s="26" t="n">
        <v>1</v>
      </c>
      <c r="H445" s="22" t="n">
        <v>0.753009000050042</v>
      </c>
    </row>
    <row r="446" customFormat="false" ht="15" hidden="false" customHeight="false" outlineLevel="0" collapsed="false">
      <c r="A446" s="26" t="n">
        <v>3</v>
      </c>
      <c r="B446" s="26" t="s">
        <v>229</v>
      </c>
      <c r="C446" s="12" t="n">
        <v>1220000</v>
      </c>
      <c r="D446" s="26" t="s">
        <v>208</v>
      </c>
      <c r="E446" s="26" t="s">
        <v>76</v>
      </c>
      <c r="F446" s="12" t="n">
        <v>1000000</v>
      </c>
      <c r="G446" s="26" t="n">
        <v>2</v>
      </c>
      <c r="H446" s="22" t="n">
        <v>0.689692000037212</v>
      </c>
    </row>
    <row r="447" customFormat="false" ht="15" hidden="false" customHeight="false" outlineLevel="0" collapsed="false">
      <c r="A447" s="26" t="n">
        <v>3</v>
      </c>
      <c r="B447" s="26" t="s">
        <v>229</v>
      </c>
      <c r="C447" s="12" t="n">
        <v>1220000</v>
      </c>
      <c r="D447" s="26" t="s">
        <v>208</v>
      </c>
      <c r="E447" s="26" t="s">
        <v>76</v>
      </c>
      <c r="F447" s="12" t="n">
        <v>1000000</v>
      </c>
      <c r="G447" s="26" t="n">
        <v>3</v>
      </c>
      <c r="H447" s="22" t="n">
        <v>0.790172999927563</v>
      </c>
    </row>
    <row r="448" customFormat="false" ht="15" hidden="false" customHeight="false" outlineLevel="0" collapsed="false">
      <c r="A448" s="26" t="n">
        <v>3</v>
      </c>
      <c r="B448" s="26" t="s">
        <v>229</v>
      </c>
      <c r="C448" s="12" t="n">
        <v>1220000</v>
      </c>
      <c r="D448" s="26" t="s">
        <v>208</v>
      </c>
      <c r="E448" s="26" t="s">
        <v>76</v>
      </c>
      <c r="F448" s="12" t="n">
        <v>1000000</v>
      </c>
      <c r="G448" s="26" t="n">
        <v>4</v>
      </c>
      <c r="H448" s="22" t="n">
        <v>0.652872999921783</v>
      </c>
    </row>
    <row r="449" customFormat="false" ht="15" hidden="false" customHeight="false" outlineLevel="0" collapsed="false">
      <c r="A449" s="26" t="n">
        <v>3</v>
      </c>
      <c r="B449" s="26" t="s">
        <v>229</v>
      </c>
      <c r="C449" s="12" t="n">
        <v>1220000</v>
      </c>
      <c r="D449" s="26" t="s">
        <v>208</v>
      </c>
      <c r="E449" s="26" t="s">
        <v>76</v>
      </c>
      <c r="F449" s="12" t="n">
        <v>1000000</v>
      </c>
      <c r="G449" s="26" t="n">
        <v>5</v>
      </c>
      <c r="H449" s="22" t="n">
        <v>0.668883000003007</v>
      </c>
    </row>
    <row r="450" customFormat="false" ht="15" hidden="false" customHeight="false" outlineLevel="0" collapsed="false">
      <c r="A450" s="26" t="n">
        <v>3</v>
      </c>
      <c r="B450" s="26" t="s">
        <v>229</v>
      </c>
      <c r="C450" s="12" t="n">
        <v>1220000</v>
      </c>
      <c r="D450" s="26" t="s">
        <v>208</v>
      </c>
      <c r="E450" s="26" t="s">
        <v>77</v>
      </c>
      <c r="F450" s="12" t="n">
        <v>1000000</v>
      </c>
      <c r="G450" s="26" t="n">
        <v>1</v>
      </c>
      <c r="H450" s="22" t="n">
        <v>997.857594000038</v>
      </c>
    </row>
    <row r="451" customFormat="false" ht="15" hidden="false" customHeight="false" outlineLevel="0" collapsed="false">
      <c r="A451" s="26" t="n">
        <v>3</v>
      </c>
      <c r="B451" s="26" t="s">
        <v>229</v>
      </c>
      <c r="C451" s="12" t="n">
        <v>1220000</v>
      </c>
      <c r="D451" s="26" t="s">
        <v>208</v>
      </c>
      <c r="E451" s="26" t="s">
        <v>77</v>
      </c>
      <c r="F451" s="12" t="n">
        <v>1000000</v>
      </c>
      <c r="G451" s="26" t="n">
        <v>2</v>
      </c>
      <c r="H451" s="22" t="n">
        <v>984.217859000069</v>
      </c>
    </row>
    <row r="452" customFormat="false" ht="15" hidden="false" customHeight="false" outlineLevel="0" collapsed="false">
      <c r="A452" s="26" t="n">
        <v>3</v>
      </c>
      <c r="B452" s="26" t="s">
        <v>229</v>
      </c>
      <c r="C452" s="12" t="n">
        <v>1220000</v>
      </c>
      <c r="D452" s="26" t="s">
        <v>208</v>
      </c>
      <c r="E452" s="26" t="s">
        <v>77</v>
      </c>
      <c r="F452" s="12" t="n">
        <v>1000000</v>
      </c>
      <c r="G452" s="26" t="n">
        <v>3</v>
      </c>
      <c r="H452" s="22" t="n">
        <v>1092.11537600004</v>
      </c>
    </row>
    <row r="453" customFormat="false" ht="15" hidden="false" customHeight="false" outlineLevel="0" collapsed="false">
      <c r="A453" s="26" t="n">
        <v>3</v>
      </c>
      <c r="B453" s="26" t="s">
        <v>229</v>
      </c>
      <c r="C453" s="12" t="n">
        <v>1220000</v>
      </c>
      <c r="D453" s="26" t="s">
        <v>208</v>
      </c>
      <c r="E453" s="26" t="s">
        <v>77</v>
      </c>
      <c r="F453" s="12" t="n">
        <v>1000000</v>
      </c>
      <c r="G453" s="26" t="n">
        <v>4</v>
      </c>
      <c r="H453" s="22" t="n">
        <v>991.648813999973</v>
      </c>
    </row>
    <row r="454" customFormat="false" ht="15" hidden="false" customHeight="false" outlineLevel="0" collapsed="false">
      <c r="A454" s="26" t="n">
        <v>3</v>
      </c>
      <c r="B454" s="26" t="s">
        <v>229</v>
      </c>
      <c r="C454" s="12" t="n">
        <v>1220000</v>
      </c>
      <c r="D454" s="26" t="s">
        <v>208</v>
      </c>
      <c r="E454" s="26" t="s">
        <v>77</v>
      </c>
      <c r="F454" s="12" t="n">
        <v>1000000</v>
      </c>
      <c r="G454" s="26" t="n">
        <v>5</v>
      </c>
      <c r="H454" s="22" t="n">
        <v>1063.463985</v>
      </c>
    </row>
  </sheetData>
  <autoFilter ref="A4:H45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6" min="4" style="0" width="14"/>
    <col collapsed="false" customWidth="true" hidden="false" outlineLevel="0" max="7" min="7" style="0" width="12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15" hidden="false" customHeight="false" outlineLevel="0" collapsed="false">
      <c r="A4" s="7" t="s">
        <v>217</v>
      </c>
      <c r="B4" s="7" t="s">
        <v>22</v>
      </c>
      <c r="C4" s="7" t="s">
        <v>93</v>
      </c>
      <c r="D4" s="7" t="s">
        <v>23</v>
      </c>
      <c r="E4" s="7" t="s">
        <v>232</v>
      </c>
      <c r="F4" s="7" t="s">
        <v>233</v>
      </c>
      <c r="G4" s="7" t="s">
        <v>234</v>
      </c>
    </row>
    <row r="5" customFormat="false" ht="15" hidden="false" customHeight="false" outlineLevel="0" collapsed="false">
      <c r="A5" s="26" t="n">
        <v>1</v>
      </c>
      <c r="B5" s="26" t="s">
        <v>84</v>
      </c>
      <c r="C5" s="26" t="s">
        <v>76</v>
      </c>
      <c r="D5" s="12" t="n">
        <v>1000000</v>
      </c>
      <c r="E5" s="12" t="n">
        <v>0</v>
      </c>
      <c r="F5" s="12" t="n">
        <v>1000000</v>
      </c>
      <c r="G5" s="22" t="n">
        <v>46.937406552</v>
      </c>
    </row>
    <row r="6" customFormat="false" ht="15" hidden="false" customHeight="false" outlineLevel="0" collapsed="false">
      <c r="A6" s="26" t="n">
        <v>1</v>
      </c>
      <c r="B6" s="26" t="s">
        <v>84</v>
      </c>
      <c r="C6" s="26" t="s">
        <v>77</v>
      </c>
      <c r="D6" s="12" t="n">
        <v>1000000</v>
      </c>
      <c r="E6" s="12" t="n">
        <v>0</v>
      </c>
      <c r="F6" s="12" t="n">
        <v>1000000</v>
      </c>
      <c r="G6" s="22" t="n">
        <v>54.635121221</v>
      </c>
    </row>
    <row r="7" customFormat="false" ht="15" hidden="false" customHeight="false" outlineLevel="0" collapsed="false">
      <c r="A7" s="26" t="n">
        <v>2</v>
      </c>
      <c r="B7" s="26" t="s">
        <v>84</v>
      </c>
      <c r="C7" s="26" t="s">
        <v>76</v>
      </c>
      <c r="D7" s="12" t="n">
        <v>1000000</v>
      </c>
      <c r="E7" s="12" t="n">
        <v>0</v>
      </c>
      <c r="F7" s="12" t="n">
        <v>1000000</v>
      </c>
      <c r="G7" s="22" t="n">
        <v>55.823336436</v>
      </c>
    </row>
    <row r="8" customFormat="false" ht="15" hidden="false" customHeight="false" outlineLevel="0" collapsed="false">
      <c r="A8" s="26" t="n">
        <v>2</v>
      </c>
      <c r="B8" s="26" t="s">
        <v>84</v>
      </c>
      <c r="C8" s="26" t="s">
        <v>77</v>
      </c>
      <c r="D8" s="12" t="n">
        <v>1000000</v>
      </c>
      <c r="E8" s="12" t="n">
        <v>0</v>
      </c>
      <c r="F8" s="12" t="n">
        <v>1000000</v>
      </c>
      <c r="G8" s="22" t="n">
        <v>35.00725839</v>
      </c>
    </row>
    <row r="9" customFormat="false" ht="15" hidden="false" customHeight="false" outlineLevel="0" collapsed="false">
      <c r="A9" s="26" t="n">
        <v>3</v>
      </c>
      <c r="B9" s="26" t="s">
        <v>84</v>
      </c>
      <c r="C9" s="26" t="s">
        <v>76</v>
      </c>
      <c r="D9" s="12" t="n">
        <v>1000000</v>
      </c>
      <c r="E9" s="12" t="n">
        <v>0</v>
      </c>
      <c r="F9" s="12" t="n">
        <v>1000000</v>
      </c>
      <c r="G9" s="22" t="n">
        <v>66.7988109500001</v>
      </c>
    </row>
    <row r="10" customFormat="false" ht="15" hidden="false" customHeight="false" outlineLevel="0" collapsed="false">
      <c r="A10" s="26" t="n">
        <v>3</v>
      </c>
      <c r="B10" s="26" t="s">
        <v>84</v>
      </c>
      <c r="C10" s="26" t="s">
        <v>77</v>
      </c>
      <c r="D10" s="12" t="n">
        <v>1000000</v>
      </c>
      <c r="E10" s="12" t="n">
        <v>0</v>
      </c>
      <c r="F10" s="12" t="n">
        <v>1000000</v>
      </c>
      <c r="G10" s="22" t="n">
        <v>77.878874326</v>
      </c>
    </row>
    <row r="11" customFormat="false" ht="15" hidden="false" customHeight="false" outlineLevel="0" collapsed="false">
      <c r="A11" s="26" t="n">
        <v>1</v>
      </c>
      <c r="B11" s="26" t="s">
        <v>85</v>
      </c>
      <c r="C11" s="26" t="s">
        <v>76</v>
      </c>
      <c r="D11" s="12" t="n">
        <v>20000</v>
      </c>
      <c r="E11" s="12" t="n">
        <v>1000000</v>
      </c>
      <c r="F11" s="12" t="n">
        <v>1020000</v>
      </c>
      <c r="G11" s="22" t="n">
        <v>0.653655008999976</v>
      </c>
    </row>
    <row r="12" customFormat="false" ht="15" hidden="false" customHeight="false" outlineLevel="0" collapsed="false">
      <c r="A12" s="26" t="n">
        <v>1</v>
      </c>
      <c r="B12" s="26" t="s">
        <v>85</v>
      </c>
      <c r="C12" s="26" t="s">
        <v>77</v>
      </c>
      <c r="D12" s="12" t="n">
        <v>20000</v>
      </c>
      <c r="E12" s="12" t="n">
        <v>1000000</v>
      </c>
      <c r="F12" s="12" t="n">
        <v>1020000</v>
      </c>
      <c r="G12" s="22" t="n">
        <v>0.69109368200003</v>
      </c>
    </row>
    <row r="13" customFormat="false" ht="15" hidden="false" customHeight="false" outlineLevel="0" collapsed="false">
      <c r="A13" s="26" t="n">
        <v>2</v>
      </c>
      <c r="B13" s="26" t="s">
        <v>85</v>
      </c>
      <c r="C13" s="26" t="s">
        <v>76</v>
      </c>
      <c r="D13" s="12" t="n">
        <v>20000</v>
      </c>
      <c r="E13" s="12" t="n">
        <v>1000000</v>
      </c>
      <c r="F13" s="12" t="n">
        <v>1020000</v>
      </c>
      <c r="G13" s="22" t="n">
        <v>1.15383497599999</v>
      </c>
    </row>
    <row r="14" customFormat="false" ht="15" hidden="false" customHeight="false" outlineLevel="0" collapsed="false">
      <c r="A14" s="26" t="n">
        <v>2</v>
      </c>
      <c r="B14" s="26" t="s">
        <v>85</v>
      </c>
      <c r="C14" s="26" t="s">
        <v>77</v>
      </c>
      <c r="D14" s="12" t="n">
        <v>20000</v>
      </c>
      <c r="E14" s="12" t="n">
        <v>1000000</v>
      </c>
      <c r="F14" s="12" t="n">
        <v>1020000</v>
      </c>
      <c r="G14" s="22" t="n">
        <v>0.708386510999958</v>
      </c>
    </row>
    <row r="15" customFormat="false" ht="15" hidden="false" customHeight="false" outlineLevel="0" collapsed="false">
      <c r="A15" s="26" t="n">
        <v>3</v>
      </c>
      <c r="B15" s="26" t="s">
        <v>85</v>
      </c>
      <c r="C15" s="26" t="s">
        <v>76</v>
      </c>
      <c r="D15" s="12" t="n">
        <v>20000</v>
      </c>
      <c r="E15" s="12" t="n">
        <v>1000000</v>
      </c>
      <c r="F15" s="12" t="n">
        <v>1020000</v>
      </c>
      <c r="G15" s="22" t="n">
        <v>0.798594783999988</v>
      </c>
    </row>
    <row r="16" customFormat="false" ht="15" hidden="false" customHeight="false" outlineLevel="0" collapsed="false">
      <c r="A16" s="26" t="n">
        <v>3</v>
      </c>
      <c r="B16" s="26" t="s">
        <v>85</v>
      </c>
      <c r="C16" s="26" t="s">
        <v>77</v>
      </c>
      <c r="D16" s="12" t="n">
        <v>20000</v>
      </c>
      <c r="E16" s="12" t="n">
        <v>1000000</v>
      </c>
      <c r="F16" s="12" t="n">
        <v>1020000</v>
      </c>
      <c r="G16" s="22" t="n">
        <v>0.717295885999988</v>
      </c>
    </row>
    <row r="17" customFormat="false" ht="15" hidden="false" customHeight="false" outlineLevel="0" collapsed="false">
      <c r="A17" s="26" t="n">
        <v>1</v>
      </c>
      <c r="B17" s="26" t="s">
        <v>86</v>
      </c>
      <c r="C17" s="26" t="s">
        <v>76</v>
      </c>
      <c r="D17" s="12" t="n">
        <v>40000</v>
      </c>
      <c r="E17" s="12" t="n">
        <v>1020000</v>
      </c>
      <c r="F17" s="12" t="n">
        <v>1060000</v>
      </c>
      <c r="G17" s="22" t="n">
        <v>1.42405494099995</v>
      </c>
    </row>
    <row r="18" customFormat="false" ht="15" hidden="false" customHeight="false" outlineLevel="0" collapsed="false">
      <c r="A18" s="26" t="n">
        <v>1</v>
      </c>
      <c r="B18" s="26" t="s">
        <v>86</v>
      </c>
      <c r="C18" s="26" t="s">
        <v>77</v>
      </c>
      <c r="D18" s="12" t="n">
        <v>40000</v>
      </c>
      <c r="E18" s="12" t="n">
        <v>1020000</v>
      </c>
      <c r="F18" s="12" t="n">
        <v>1060000</v>
      </c>
      <c r="G18" s="22" t="n">
        <v>1.50873217200001</v>
      </c>
    </row>
    <row r="19" customFormat="false" ht="15" hidden="false" customHeight="false" outlineLevel="0" collapsed="false">
      <c r="A19" s="26" t="n">
        <v>2</v>
      </c>
      <c r="B19" s="26" t="s">
        <v>86</v>
      </c>
      <c r="C19" s="26" t="s">
        <v>76</v>
      </c>
      <c r="D19" s="12" t="n">
        <v>40000</v>
      </c>
      <c r="E19" s="12" t="n">
        <v>1020000</v>
      </c>
      <c r="F19" s="12" t="n">
        <v>1060000</v>
      </c>
      <c r="G19" s="22" t="n">
        <v>1.43643765100001</v>
      </c>
    </row>
    <row r="20" customFormat="false" ht="15" hidden="false" customHeight="false" outlineLevel="0" collapsed="false">
      <c r="A20" s="26" t="n">
        <v>2</v>
      </c>
      <c r="B20" s="26" t="s">
        <v>86</v>
      </c>
      <c r="C20" s="26" t="s">
        <v>77</v>
      </c>
      <c r="D20" s="12" t="n">
        <v>40000</v>
      </c>
      <c r="E20" s="12" t="n">
        <v>1020000</v>
      </c>
      <c r="F20" s="12" t="n">
        <v>1060000</v>
      </c>
      <c r="G20" s="22" t="n">
        <v>1.39809351600002</v>
      </c>
    </row>
    <row r="21" customFormat="false" ht="15" hidden="false" customHeight="false" outlineLevel="0" collapsed="false">
      <c r="A21" s="26" t="n">
        <v>3</v>
      </c>
      <c r="B21" s="26" t="s">
        <v>86</v>
      </c>
      <c r="C21" s="26" t="s">
        <v>76</v>
      </c>
      <c r="D21" s="12" t="n">
        <v>40000</v>
      </c>
      <c r="E21" s="12" t="n">
        <v>1020000</v>
      </c>
      <c r="F21" s="12" t="n">
        <v>1060000</v>
      </c>
      <c r="G21" s="22" t="n">
        <v>1.44170993900002</v>
      </c>
    </row>
    <row r="22" customFormat="false" ht="15" hidden="false" customHeight="false" outlineLevel="0" collapsed="false">
      <c r="A22" s="26" t="n">
        <v>3</v>
      </c>
      <c r="B22" s="26" t="s">
        <v>86</v>
      </c>
      <c r="C22" s="26" t="s">
        <v>77</v>
      </c>
      <c r="D22" s="12" t="n">
        <v>40000</v>
      </c>
      <c r="E22" s="12" t="n">
        <v>1020000</v>
      </c>
      <c r="F22" s="12" t="n">
        <v>1060000</v>
      </c>
      <c r="G22" s="22" t="n">
        <v>1.37007882900002</v>
      </c>
    </row>
    <row r="23" customFormat="false" ht="15" hidden="false" customHeight="false" outlineLevel="0" collapsed="false">
      <c r="A23" s="26" t="n">
        <v>1</v>
      </c>
      <c r="B23" s="26" t="s">
        <v>87</v>
      </c>
      <c r="C23" s="26" t="s">
        <v>76</v>
      </c>
      <c r="D23" s="12" t="n">
        <v>60000</v>
      </c>
      <c r="E23" s="12" t="n">
        <v>1060000</v>
      </c>
      <c r="F23" s="12" t="n">
        <v>1120000</v>
      </c>
      <c r="G23" s="22" t="n">
        <v>2.40080622199997</v>
      </c>
    </row>
    <row r="24" customFormat="false" ht="15" hidden="false" customHeight="false" outlineLevel="0" collapsed="false">
      <c r="A24" s="26" t="n">
        <v>1</v>
      </c>
      <c r="B24" s="26" t="s">
        <v>87</v>
      </c>
      <c r="C24" s="26" t="s">
        <v>77</v>
      </c>
      <c r="D24" s="12" t="n">
        <v>60000</v>
      </c>
      <c r="E24" s="12" t="n">
        <v>1060000</v>
      </c>
      <c r="F24" s="12" t="n">
        <v>1120000</v>
      </c>
      <c r="G24" s="22" t="n">
        <v>1.99659418199997</v>
      </c>
    </row>
    <row r="25" customFormat="false" ht="15" hidden="false" customHeight="false" outlineLevel="0" collapsed="false">
      <c r="A25" s="26" t="n">
        <v>2</v>
      </c>
      <c r="B25" s="26" t="s">
        <v>87</v>
      </c>
      <c r="C25" s="26" t="s">
        <v>76</v>
      </c>
      <c r="D25" s="12" t="n">
        <v>60000</v>
      </c>
      <c r="E25" s="12" t="n">
        <v>1060000</v>
      </c>
      <c r="F25" s="12" t="n">
        <v>1120000</v>
      </c>
      <c r="G25" s="22" t="n">
        <v>2.93526346700003</v>
      </c>
    </row>
    <row r="26" customFormat="false" ht="15" hidden="false" customHeight="false" outlineLevel="0" collapsed="false">
      <c r="A26" s="26" t="n">
        <v>2</v>
      </c>
      <c r="B26" s="26" t="s">
        <v>87</v>
      </c>
      <c r="C26" s="26" t="s">
        <v>77</v>
      </c>
      <c r="D26" s="12" t="n">
        <v>60000</v>
      </c>
      <c r="E26" s="12" t="n">
        <v>1060000</v>
      </c>
      <c r="F26" s="12" t="n">
        <v>1120000</v>
      </c>
      <c r="G26" s="22" t="n">
        <v>2.44782441300004</v>
      </c>
    </row>
    <row r="27" customFormat="false" ht="15" hidden="false" customHeight="false" outlineLevel="0" collapsed="false">
      <c r="A27" s="26" t="n">
        <v>3</v>
      </c>
      <c r="B27" s="26" t="s">
        <v>87</v>
      </c>
      <c r="C27" s="26" t="s">
        <v>76</v>
      </c>
      <c r="D27" s="12" t="n">
        <v>60000</v>
      </c>
      <c r="E27" s="12" t="n">
        <v>1060000</v>
      </c>
      <c r="F27" s="12" t="n">
        <v>1120000</v>
      </c>
      <c r="G27" s="22" t="n">
        <v>3.21189882099998</v>
      </c>
    </row>
    <row r="28" customFormat="false" ht="15" hidden="false" customHeight="false" outlineLevel="0" collapsed="false">
      <c r="A28" s="26" t="n">
        <v>3</v>
      </c>
      <c r="B28" s="26" t="s">
        <v>87</v>
      </c>
      <c r="C28" s="26" t="s">
        <v>77</v>
      </c>
      <c r="D28" s="12" t="n">
        <v>60000</v>
      </c>
      <c r="E28" s="12" t="n">
        <v>1060000</v>
      </c>
      <c r="F28" s="12" t="n">
        <v>1120000</v>
      </c>
      <c r="G28" s="22" t="n">
        <v>2.11868159699998</v>
      </c>
    </row>
    <row r="29" customFormat="false" ht="15" hidden="false" customHeight="false" outlineLevel="0" collapsed="false">
      <c r="A29" s="26" t="n">
        <v>1</v>
      </c>
      <c r="B29" s="26" t="s">
        <v>88</v>
      </c>
      <c r="C29" s="26" t="s">
        <v>76</v>
      </c>
      <c r="D29" s="12" t="n">
        <v>100000</v>
      </c>
      <c r="E29" s="12" t="n">
        <v>1120000</v>
      </c>
      <c r="F29" s="12" t="n">
        <v>1220000</v>
      </c>
      <c r="G29" s="22" t="n">
        <v>3.64969947900005</v>
      </c>
    </row>
    <row r="30" customFormat="false" ht="15" hidden="false" customHeight="false" outlineLevel="0" collapsed="false">
      <c r="A30" s="26" t="n">
        <v>1</v>
      </c>
      <c r="B30" s="26" t="s">
        <v>88</v>
      </c>
      <c r="C30" s="26" t="s">
        <v>77</v>
      </c>
      <c r="D30" s="12" t="n">
        <v>100000</v>
      </c>
      <c r="E30" s="12" t="n">
        <v>1120000</v>
      </c>
      <c r="F30" s="12" t="n">
        <v>1220000</v>
      </c>
      <c r="G30" s="22" t="n">
        <v>3.53373852200002</v>
      </c>
    </row>
    <row r="31" customFormat="false" ht="15" hidden="false" customHeight="false" outlineLevel="0" collapsed="false">
      <c r="A31" s="26" t="n">
        <v>2</v>
      </c>
      <c r="B31" s="26" t="s">
        <v>88</v>
      </c>
      <c r="C31" s="26" t="s">
        <v>76</v>
      </c>
      <c r="D31" s="12" t="n">
        <v>100000</v>
      </c>
      <c r="E31" s="12" t="n">
        <v>1120000</v>
      </c>
      <c r="F31" s="12" t="n">
        <v>1220000</v>
      </c>
      <c r="G31" s="22" t="n">
        <v>3.56671292800002</v>
      </c>
    </row>
    <row r="32" customFormat="false" ht="15" hidden="false" customHeight="false" outlineLevel="0" collapsed="false">
      <c r="A32" s="26" t="n">
        <v>2</v>
      </c>
      <c r="B32" s="26" t="s">
        <v>88</v>
      </c>
      <c r="C32" s="26" t="s">
        <v>77</v>
      </c>
      <c r="D32" s="12" t="n">
        <v>100000</v>
      </c>
      <c r="E32" s="12" t="n">
        <v>1120000</v>
      </c>
      <c r="F32" s="12" t="n">
        <v>1220000</v>
      </c>
      <c r="G32" s="22" t="n">
        <v>3.97738899800004</v>
      </c>
    </row>
    <row r="33" customFormat="false" ht="15" hidden="false" customHeight="false" outlineLevel="0" collapsed="false">
      <c r="A33" s="26" t="n">
        <v>3</v>
      </c>
      <c r="B33" s="26" t="s">
        <v>88</v>
      </c>
      <c r="C33" s="26" t="s">
        <v>76</v>
      </c>
      <c r="D33" s="12" t="n">
        <v>100000</v>
      </c>
      <c r="E33" s="12" t="n">
        <v>1120000</v>
      </c>
      <c r="F33" s="12" t="n">
        <v>1220000</v>
      </c>
      <c r="G33" s="22" t="n">
        <v>3.46611336599995</v>
      </c>
    </row>
    <row r="34" customFormat="false" ht="15" hidden="false" customHeight="false" outlineLevel="0" collapsed="false">
      <c r="A34" s="26" t="n">
        <v>3</v>
      </c>
      <c r="B34" s="26" t="s">
        <v>88</v>
      </c>
      <c r="C34" s="26" t="s">
        <v>77</v>
      </c>
      <c r="D34" s="12" t="n">
        <v>100000</v>
      </c>
      <c r="E34" s="12" t="n">
        <v>1120000</v>
      </c>
      <c r="F34" s="12" t="n">
        <v>1220000</v>
      </c>
      <c r="G34" s="22" t="n">
        <v>3.40327588599996</v>
      </c>
    </row>
  </sheetData>
  <autoFilter ref="A4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44"/>
    <col collapsed="false" customWidth="true" hidden="false" outlineLevel="0" max="6" min="5" style="0" width="16"/>
    <col collapsed="false" customWidth="true" hidden="false" outlineLevel="0" max="7" min="7" style="0" width="15"/>
    <col collapsed="false" customWidth="true" hidden="false" outlineLevel="0" max="8" min="8" style="0" width="11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1" t="s">
        <v>235</v>
      </c>
    </row>
    <row r="2" customFormat="false" ht="15" hidden="false" customHeight="false" outlineLevel="0" collapsed="false">
      <c r="A2" s="2" t="s">
        <v>236</v>
      </c>
    </row>
    <row r="4" customFormat="false" ht="23.85" hidden="false" customHeight="false" outlineLevel="0" collapsed="false">
      <c r="A4" s="7" t="s">
        <v>93</v>
      </c>
      <c r="B4" s="7" t="s">
        <v>67</v>
      </c>
      <c r="C4" s="7" t="s">
        <v>226</v>
      </c>
      <c r="D4" s="7" t="s">
        <v>237</v>
      </c>
      <c r="E4" s="7" t="s">
        <v>238</v>
      </c>
      <c r="F4" s="7" t="s">
        <v>239</v>
      </c>
      <c r="G4" s="7" t="s">
        <v>240</v>
      </c>
      <c r="H4" s="7" t="s">
        <v>241</v>
      </c>
      <c r="I4" s="7" t="s">
        <v>242</v>
      </c>
    </row>
    <row r="5" customFormat="false" ht="15" hidden="false" customHeight="false" outlineLevel="0" collapsed="false">
      <c r="A5" s="26" t="s">
        <v>76</v>
      </c>
      <c r="B5" s="12" t="n">
        <v>10</v>
      </c>
      <c r="C5" s="26" t="n">
        <v>1</v>
      </c>
      <c r="D5" s="26" t="s">
        <v>243</v>
      </c>
      <c r="E5" s="22" t="n">
        <v>0.688917000047695</v>
      </c>
      <c r="F5" s="22" t="n">
        <v>0.29173</v>
      </c>
      <c r="G5" s="12" t="n">
        <v>1</v>
      </c>
      <c r="H5" s="12" t="n">
        <v>1</v>
      </c>
      <c r="I5" s="26" t="n">
        <v>0</v>
      </c>
    </row>
    <row r="6" customFormat="false" ht="15" hidden="false" customHeight="false" outlineLevel="0" collapsed="false">
      <c r="A6" s="26" t="s">
        <v>76</v>
      </c>
      <c r="B6" s="12" t="n">
        <v>10</v>
      </c>
      <c r="C6" s="26" t="n">
        <v>2</v>
      </c>
      <c r="D6" s="26" t="s">
        <v>243</v>
      </c>
      <c r="E6" s="22" t="n">
        <v>0.658365000049344</v>
      </c>
      <c r="F6" s="22" t="n">
        <v>0.260856</v>
      </c>
      <c r="G6" s="12" t="n">
        <v>1</v>
      </c>
      <c r="H6" s="12" t="n">
        <v>1</v>
      </c>
      <c r="I6" s="26" t="n">
        <v>0</v>
      </c>
    </row>
    <row r="7" customFormat="false" ht="15" hidden="false" customHeight="false" outlineLevel="0" collapsed="false">
      <c r="A7" s="26" t="s">
        <v>76</v>
      </c>
      <c r="B7" s="12" t="n">
        <v>10</v>
      </c>
      <c r="C7" s="26" t="n">
        <v>3</v>
      </c>
      <c r="D7" s="26" t="s">
        <v>243</v>
      </c>
      <c r="E7" s="22" t="n">
        <v>0.649809000037749</v>
      </c>
      <c r="F7" s="22" t="n">
        <v>0.245494</v>
      </c>
      <c r="G7" s="12" t="n">
        <v>1</v>
      </c>
      <c r="H7" s="12" t="n">
        <v>1</v>
      </c>
      <c r="I7" s="26" t="n">
        <v>0</v>
      </c>
    </row>
    <row r="8" customFormat="false" ht="15" hidden="false" customHeight="false" outlineLevel="0" collapsed="false">
      <c r="A8" s="26" t="s">
        <v>76</v>
      </c>
      <c r="B8" s="12" t="n">
        <v>10</v>
      </c>
      <c r="C8" s="26" t="n">
        <v>4</v>
      </c>
      <c r="D8" s="26" t="s">
        <v>243</v>
      </c>
      <c r="E8" s="22" t="n">
        <v>0.680745000067873</v>
      </c>
      <c r="F8" s="22" t="n">
        <v>0.266683</v>
      </c>
      <c r="G8" s="12" t="n">
        <v>1</v>
      </c>
      <c r="H8" s="12" t="n">
        <v>1</v>
      </c>
      <c r="I8" s="26" t="n">
        <v>0</v>
      </c>
    </row>
    <row r="9" customFormat="false" ht="15" hidden="false" customHeight="false" outlineLevel="0" collapsed="false">
      <c r="A9" s="26" t="s">
        <v>76</v>
      </c>
      <c r="B9" s="12" t="n">
        <v>10</v>
      </c>
      <c r="C9" s="26" t="n">
        <v>5</v>
      </c>
      <c r="D9" s="26" t="s">
        <v>243</v>
      </c>
      <c r="E9" s="22" t="n">
        <v>0.686554000026263</v>
      </c>
      <c r="F9" s="22" t="n">
        <v>0.264424</v>
      </c>
      <c r="G9" s="12" t="n">
        <v>1</v>
      </c>
      <c r="H9" s="12" t="n">
        <v>1</v>
      </c>
      <c r="I9" s="26" t="n">
        <v>0</v>
      </c>
    </row>
    <row r="10" customFormat="false" ht="15" hidden="false" customHeight="false" outlineLevel="0" collapsed="false">
      <c r="A10" s="26" t="s">
        <v>77</v>
      </c>
      <c r="B10" s="12" t="n">
        <v>10</v>
      </c>
      <c r="C10" s="26" t="n">
        <v>1</v>
      </c>
      <c r="D10" s="26" t="s">
        <v>244</v>
      </c>
      <c r="E10" s="22" t="n">
        <v>815.745791999916</v>
      </c>
      <c r="F10" s="22" t="n">
        <v>815.31253</v>
      </c>
      <c r="G10" s="12" t="n">
        <v>1000000</v>
      </c>
      <c r="H10" s="12" t="n">
        <v>1</v>
      </c>
      <c r="I10" s="26" t="n">
        <v>1</v>
      </c>
    </row>
    <row r="11" customFormat="false" ht="15" hidden="false" customHeight="false" outlineLevel="0" collapsed="false">
      <c r="A11" s="26" t="s">
        <v>77</v>
      </c>
      <c r="B11" s="12" t="n">
        <v>10</v>
      </c>
      <c r="C11" s="26" t="n">
        <v>2</v>
      </c>
      <c r="D11" s="26" t="s">
        <v>244</v>
      </c>
      <c r="E11" s="22" t="n">
        <v>790.332754000019</v>
      </c>
      <c r="F11" s="22" t="n">
        <v>789.593954</v>
      </c>
      <c r="G11" s="12" t="n">
        <v>1000000</v>
      </c>
      <c r="H11" s="12" t="n">
        <v>1</v>
      </c>
      <c r="I11" s="26" t="n">
        <v>1</v>
      </c>
    </row>
    <row r="12" customFormat="false" ht="15" hidden="false" customHeight="false" outlineLevel="0" collapsed="false">
      <c r="A12" s="26" t="s">
        <v>77</v>
      </c>
      <c r="B12" s="12" t="n">
        <v>10</v>
      </c>
      <c r="C12" s="26" t="n">
        <v>3</v>
      </c>
      <c r="D12" s="26" t="s">
        <v>244</v>
      </c>
      <c r="E12" s="22" t="n">
        <v>787.888800000019</v>
      </c>
      <c r="F12" s="22" t="n">
        <v>787.39275</v>
      </c>
      <c r="G12" s="12" t="n">
        <v>1000000</v>
      </c>
      <c r="H12" s="12" t="n">
        <v>1</v>
      </c>
      <c r="I12" s="26" t="n">
        <v>1</v>
      </c>
    </row>
    <row r="13" customFormat="false" ht="15" hidden="false" customHeight="false" outlineLevel="0" collapsed="false">
      <c r="A13" s="26" t="s">
        <v>77</v>
      </c>
      <c r="B13" s="12" t="n">
        <v>10</v>
      </c>
      <c r="C13" s="26" t="n">
        <v>4</v>
      </c>
      <c r="D13" s="26" t="s">
        <v>244</v>
      </c>
      <c r="E13" s="22" t="n">
        <v>851.618199999962</v>
      </c>
      <c r="F13" s="22" t="n">
        <v>851.185257</v>
      </c>
      <c r="G13" s="12" t="n">
        <v>1000000</v>
      </c>
      <c r="H13" s="12" t="n">
        <v>1</v>
      </c>
      <c r="I13" s="26" t="n">
        <v>1</v>
      </c>
    </row>
    <row r="14" customFormat="false" ht="15" hidden="false" customHeight="false" outlineLevel="0" collapsed="false">
      <c r="A14" s="26" t="s">
        <v>77</v>
      </c>
      <c r="B14" s="12" t="n">
        <v>10</v>
      </c>
      <c r="C14" s="26" t="n">
        <v>5</v>
      </c>
      <c r="D14" s="26" t="s">
        <v>244</v>
      </c>
      <c r="E14" s="22" t="n">
        <v>777.219840000043</v>
      </c>
      <c r="F14" s="22" t="n">
        <v>776.783738</v>
      </c>
      <c r="G14" s="12" t="n">
        <v>1000000</v>
      </c>
      <c r="H14" s="12" t="n">
        <v>1</v>
      </c>
      <c r="I14" s="26" t="n">
        <v>1</v>
      </c>
    </row>
    <row r="15" customFormat="false" ht="15" hidden="false" customHeight="false" outlineLevel="0" collapsed="false">
      <c r="A15" s="26" t="s">
        <v>76</v>
      </c>
      <c r="B15" s="12" t="n">
        <v>1000</v>
      </c>
      <c r="C15" s="26" t="n">
        <v>1</v>
      </c>
      <c r="D15" s="26" t="s">
        <v>245</v>
      </c>
      <c r="E15" s="22" t="n">
        <v>1.08763800005818</v>
      </c>
      <c r="F15" s="22" t="n">
        <v>0.474997</v>
      </c>
      <c r="G15" s="12" t="n">
        <v>1</v>
      </c>
      <c r="H15" s="12" t="n">
        <v>1</v>
      </c>
      <c r="I15" s="26" t="n">
        <v>0</v>
      </c>
    </row>
    <row r="16" customFormat="false" ht="15" hidden="false" customHeight="false" outlineLevel="0" collapsed="false">
      <c r="A16" s="26" t="s">
        <v>76</v>
      </c>
      <c r="B16" s="12" t="n">
        <v>1000</v>
      </c>
      <c r="C16" s="26" t="n">
        <v>2</v>
      </c>
      <c r="D16" s="26" t="s">
        <v>245</v>
      </c>
      <c r="E16" s="22" t="n">
        <v>0.652649000016936</v>
      </c>
      <c r="F16" s="22" t="n">
        <v>0.263131</v>
      </c>
      <c r="G16" s="12" t="n">
        <v>1</v>
      </c>
      <c r="H16" s="12" t="n">
        <v>1</v>
      </c>
      <c r="I16" s="26" t="n">
        <v>0</v>
      </c>
    </row>
    <row r="17" customFormat="false" ht="15" hidden="false" customHeight="false" outlineLevel="0" collapsed="false">
      <c r="A17" s="26" t="s">
        <v>76</v>
      </c>
      <c r="B17" s="12" t="n">
        <v>1000</v>
      </c>
      <c r="C17" s="26" t="n">
        <v>3</v>
      </c>
      <c r="D17" s="26" t="s">
        <v>245</v>
      </c>
      <c r="E17" s="22" t="n">
        <v>0.74202600001172</v>
      </c>
      <c r="F17" s="22" t="n">
        <v>0.271756</v>
      </c>
      <c r="G17" s="12" t="n">
        <v>1</v>
      </c>
      <c r="H17" s="12" t="n">
        <v>1</v>
      </c>
      <c r="I17" s="26" t="n">
        <v>0</v>
      </c>
    </row>
    <row r="18" customFormat="false" ht="15" hidden="false" customHeight="false" outlineLevel="0" collapsed="false">
      <c r="A18" s="26" t="s">
        <v>76</v>
      </c>
      <c r="B18" s="12" t="n">
        <v>1000</v>
      </c>
      <c r="C18" s="26" t="n">
        <v>4</v>
      </c>
      <c r="D18" s="26" t="s">
        <v>245</v>
      </c>
      <c r="E18" s="22" t="n">
        <v>0.658830000020316</v>
      </c>
      <c r="F18" s="22" t="n">
        <v>0.255192</v>
      </c>
      <c r="G18" s="12" t="n">
        <v>1</v>
      </c>
      <c r="H18" s="12" t="n">
        <v>1</v>
      </c>
      <c r="I18" s="26" t="n">
        <v>0</v>
      </c>
    </row>
    <row r="19" customFormat="false" ht="15" hidden="false" customHeight="false" outlineLevel="0" collapsed="false">
      <c r="A19" s="26" t="s">
        <v>76</v>
      </c>
      <c r="B19" s="12" t="n">
        <v>1000</v>
      </c>
      <c r="C19" s="26" t="n">
        <v>5</v>
      </c>
      <c r="D19" s="26" t="s">
        <v>245</v>
      </c>
      <c r="E19" s="22" t="n">
        <v>0.720408000006501</v>
      </c>
      <c r="F19" s="22" t="n">
        <v>0.323301</v>
      </c>
      <c r="G19" s="12" t="n">
        <v>1</v>
      </c>
      <c r="H19" s="12" t="n">
        <v>1</v>
      </c>
      <c r="I19" s="26" t="n">
        <v>0</v>
      </c>
    </row>
    <row r="20" customFormat="false" ht="15" hidden="false" customHeight="false" outlineLevel="0" collapsed="false">
      <c r="A20" s="26" t="s">
        <v>77</v>
      </c>
      <c r="B20" s="12" t="n">
        <v>1000</v>
      </c>
      <c r="C20" s="26" t="n">
        <v>1</v>
      </c>
      <c r="D20" s="26" t="s">
        <v>246</v>
      </c>
      <c r="E20" s="22" t="n">
        <v>821.549161999997</v>
      </c>
      <c r="F20" s="22" t="n">
        <v>821.055583</v>
      </c>
      <c r="G20" s="12" t="n">
        <v>1000000</v>
      </c>
      <c r="H20" s="12" t="n">
        <v>1</v>
      </c>
      <c r="I20" s="26" t="n">
        <v>1</v>
      </c>
    </row>
    <row r="21" customFormat="false" ht="15" hidden="false" customHeight="false" outlineLevel="0" collapsed="false">
      <c r="A21" s="26" t="s">
        <v>77</v>
      </c>
      <c r="B21" s="12" t="n">
        <v>1000</v>
      </c>
      <c r="C21" s="26" t="n">
        <v>2</v>
      </c>
      <c r="D21" s="26" t="s">
        <v>246</v>
      </c>
      <c r="E21" s="22" t="n">
        <v>840.270717000067</v>
      </c>
      <c r="F21" s="22" t="n">
        <v>839.744489</v>
      </c>
      <c r="G21" s="12" t="n">
        <v>1000000</v>
      </c>
      <c r="H21" s="12" t="n">
        <v>1</v>
      </c>
      <c r="I21" s="26" t="n">
        <v>1</v>
      </c>
    </row>
    <row r="22" customFormat="false" ht="15" hidden="false" customHeight="false" outlineLevel="0" collapsed="false">
      <c r="A22" s="26" t="s">
        <v>77</v>
      </c>
      <c r="B22" s="12" t="n">
        <v>1000</v>
      </c>
      <c r="C22" s="26" t="n">
        <v>3</v>
      </c>
      <c r="D22" s="26" t="s">
        <v>246</v>
      </c>
      <c r="E22" s="22" t="n">
        <v>733.556412999974</v>
      </c>
      <c r="F22" s="22" t="n">
        <v>733.098735</v>
      </c>
      <c r="G22" s="12" t="n">
        <v>1000000</v>
      </c>
      <c r="H22" s="12" t="n">
        <v>1</v>
      </c>
      <c r="I22" s="26" t="n">
        <v>1</v>
      </c>
    </row>
    <row r="23" customFormat="false" ht="15" hidden="false" customHeight="false" outlineLevel="0" collapsed="false">
      <c r="A23" s="26" t="s">
        <v>77</v>
      </c>
      <c r="B23" s="12" t="n">
        <v>1000</v>
      </c>
      <c r="C23" s="26" t="n">
        <v>4</v>
      </c>
      <c r="D23" s="26" t="s">
        <v>246</v>
      </c>
      <c r="E23" s="22" t="n">
        <v>785.255971999959</v>
      </c>
      <c r="F23" s="22" t="n">
        <v>784.716195</v>
      </c>
      <c r="G23" s="12" t="n">
        <v>1000000</v>
      </c>
      <c r="H23" s="12" t="n">
        <v>1</v>
      </c>
      <c r="I23" s="26" t="n">
        <v>1</v>
      </c>
    </row>
    <row r="24" customFormat="false" ht="15" hidden="false" customHeight="false" outlineLevel="0" collapsed="false">
      <c r="A24" s="26" t="s">
        <v>77</v>
      </c>
      <c r="B24" s="12" t="n">
        <v>1000</v>
      </c>
      <c r="C24" s="26" t="n">
        <v>5</v>
      </c>
      <c r="D24" s="26" t="s">
        <v>246</v>
      </c>
      <c r="E24" s="22" t="n">
        <v>837.813576000031</v>
      </c>
      <c r="F24" s="22" t="n">
        <v>837.27349</v>
      </c>
      <c r="G24" s="12" t="n">
        <v>1000000</v>
      </c>
      <c r="H24" s="12" t="n">
        <v>1</v>
      </c>
      <c r="I24" s="26" t="n">
        <v>1</v>
      </c>
    </row>
    <row r="25" customFormat="false" ht="15" hidden="false" customHeight="false" outlineLevel="0" collapsed="false">
      <c r="A25" s="26" t="s">
        <v>76</v>
      </c>
      <c r="B25" s="12" t="n">
        <v>10000</v>
      </c>
      <c r="C25" s="26" t="n">
        <v>1</v>
      </c>
      <c r="D25" s="26" t="s">
        <v>247</v>
      </c>
      <c r="E25" s="22" t="n">
        <v>1.2380610000946</v>
      </c>
      <c r="F25" s="22" t="n">
        <v>0.451487</v>
      </c>
      <c r="G25" s="12" t="n">
        <v>1</v>
      </c>
      <c r="H25" s="12" t="n">
        <v>1</v>
      </c>
      <c r="I25" s="26" t="n">
        <v>0</v>
      </c>
    </row>
    <row r="26" customFormat="false" ht="15" hidden="false" customHeight="false" outlineLevel="0" collapsed="false">
      <c r="A26" s="26" t="s">
        <v>76</v>
      </c>
      <c r="B26" s="12" t="n">
        <v>10000</v>
      </c>
      <c r="C26" s="26" t="n">
        <v>2</v>
      </c>
      <c r="D26" s="26" t="s">
        <v>247</v>
      </c>
      <c r="E26" s="22" t="n">
        <v>0.718968999990466</v>
      </c>
      <c r="F26" s="22" t="n">
        <v>0.281846</v>
      </c>
      <c r="G26" s="12" t="n">
        <v>1</v>
      </c>
      <c r="H26" s="12" t="n">
        <v>1</v>
      </c>
      <c r="I26" s="26" t="n">
        <v>0</v>
      </c>
    </row>
    <row r="27" customFormat="false" ht="15" hidden="false" customHeight="false" outlineLevel="0" collapsed="false">
      <c r="A27" s="26" t="s">
        <v>76</v>
      </c>
      <c r="B27" s="12" t="n">
        <v>10000</v>
      </c>
      <c r="C27" s="26" t="n">
        <v>3</v>
      </c>
      <c r="D27" s="26" t="s">
        <v>247</v>
      </c>
      <c r="E27" s="22" t="n">
        <v>0.733045000060884</v>
      </c>
      <c r="F27" s="22" t="n">
        <v>0.327522</v>
      </c>
      <c r="G27" s="12" t="n">
        <v>1</v>
      </c>
      <c r="H27" s="12" t="n">
        <v>1</v>
      </c>
      <c r="I27" s="26" t="n">
        <v>0</v>
      </c>
    </row>
    <row r="28" customFormat="false" ht="15" hidden="false" customHeight="false" outlineLevel="0" collapsed="false">
      <c r="A28" s="26" t="s">
        <v>76</v>
      </c>
      <c r="B28" s="12" t="n">
        <v>10000</v>
      </c>
      <c r="C28" s="26" t="n">
        <v>4</v>
      </c>
      <c r="D28" s="26" t="s">
        <v>247</v>
      </c>
      <c r="E28" s="22" t="n">
        <v>0.643230999912703</v>
      </c>
      <c r="F28" s="22" t="n">
        <v>0.25682</v>
      </c>
      <c r="G28" s="12" t="n">
        <v>1</v>
      </c>
      <c r="H28" s="12" t="n">
        <v>1</v>
      </c>
      <c r="I28" s="26" t="n">
        <v>0</v>
      </c>
    </row>
    <row r="29" customFormat="false" ht="15" hidden="false" customHeight="false" outlineLevel="0" collapsed="false">
      <c r="A29" s="26" t="s">
        <v>76</v>
      </c>
      <c r="B29" s="12" t="n">
        <v>10000</v>
      </c>
      <c r="C29" s="26" t="n">
        <v>5</v>
      </c>
      <c r="D29" s="26" t="s">
        <v>247</v>
      </c>
      <c r="E29" s="22" t="n">
        <v>0.690267999971184</v>
      </c>
      <c r="F29" s="22" t="n">
        <v>0.271782</v>
      </c>
      <c r="G29" s="12" t="n">
        <v>1</v>
      </c>
      <c r="H29" s="12" t="n">
        <v>1</v>
      </c>
      <c r="I29" s="26" t="n">
        <v>0</v>
      </c>
    </row>
    <row r="30" customFormat="false" ht="15" hidden="false" customHeight="false" outlineLevel="0" collapsed="false">
      <c r="A30" s="26" t="s">
        <v>77</v>
      </c>
      <c r="B30" s="12" t="n">
        <v>10000</v>
      </c>
      <c r="C30" s="26" t="n">
        <v>1</v>
      </c>
      <c r="D30" s="26" t="s">
        <v>248</v>
      </c>
      <c r="E30" s="22" t="n">
        <v>872.049706999974</v>
      </c>
      <c r="F30" s="22" t="n">
        <v>871.628741</v>
      </c>
      <c r="G30" s="12" t="n">
        <v>1000000</v>
      </c>
      <c r="H30" s="12" t="n">
        <v>1</v>
      </c>
      <c r="I30" s="26" t="n">
        <v>1</v>
      </c>
    </row>
    <row r="31" customFormat="false" ht="15" hidden="false" customHeight="false" outlineLevel="0" collapsed="false">
      <c r="A31" s="26" t="s">
        <v>77</v>
      </c>
      <c r="B31" s="12" t="n">
        <v>10000</v>
      </c>
      <c r="C31" s="26" t="n">
        <v>2</v>
      </c>
      <c r="D31" s="26" t="s">
        <v>248</v>
      </c>
      <c r="E31" s="22" t="n">
        <v>797.09324800001</v>
      </c>
      <c r="F31" s="22" t="n">
        <v>796.522717</v>
      </c>
      <c r="G31" s="12" t="n">
        <v>1000000</v>
      </c>
      <c r="H31" s="12" t="n">
        <v>1</v>
      </c>
      <c r="I31" s="26" t="n">
        <v>1</v>
      </c>
    </row>
    <row r="32" customFormat="false" ht="15" hidden="false" customHeight="false" outlineLevel="0" collapsed="false">
      <c r="A32" s="26" t="s">
        <v>77</v>
      </c>
      <c r="B32" s="12" t="n">
        <v>10000</v>
      </c>
      <c r="C32" s="26" t="n">
        <v>3</v>
      </c>
      <c r="D32" s="26" t="s">
        <v>248</v>
      </c>
      <c r="E32" s="22" t="n">
        <v>859.340483999972</v>
      </c>
      <c r="F32" s="22" t="n">
        <v>848.559438</v>
      </c>
      <c r="G32" s="12" t="n">
        <v>1000000</v>
      </c>
      <c r="H32" s="12" t="n">
        <v>1</v>
      </c>
      <c r="I32" s="26" t="n">
        <v>1</v>
      </c>
    </row>
    <row r="33" customFormat="false" ht="15" hidden="false" customHeight="false" outlineLevel="0" collapsed="false">
      <c r="A33" s="26" t="s">
        <v>77</v>
      </c>
      <c r="B33" s="12" t="n">
        <v>10000</v>
      </c>
      <c r="C33" s="26" t="n">
        <v>4</v>
      </c>
      <c r="D33" s="26" t="s">
        <v>248</v>
      </c>
      <c r="E33" s="22" t="n">
        <v>808.056198000031</v>
      </c>
      <c r="F33" s="22" t="n">
        <v>807.478595</v>
      </c>
      <c r="G33" s="12" t="n">
        <v>1000000</v>
      </c>
      <c r="H33" s="12" t="n">
        <v>1</v>
      </c>
      <c r="I33" s="26" t="n">
        <v>1</v>
      </c>
    </row>
    <row r="34" customFormat="false" ht="15" hidden="false" customHeight="false" outlineLevel="0" collapsed="false">
      <c r="A34" s="26" t="s">
        <v>77</v>
      </c>
      <c r="B34" s="12" t="n">
        <v>10000</v>
      </c>
      <c r="C34" s="26" t="n">
        <v>5</v>
      </c>
      <c r="D34" s="26" t="s">
        <v>248</v>
      </c>
      <c r="E34" s="22" t="n">
        <v>780.9401049999</v>
      </c>
      <c r="F34" s="22" t="n">
        <v>780.517006</v>
      </c>
      <c r="G34" s="12" t="n">
        <v>1000000</v>
      </c>
      <c r="H34" s="12" t="n">
        <v>1</v>
      </c>
      <c r="I34" s="26" t="n">
        <v>1</v>
      </c>
    </row>
    <row r="35" customFormat="false" ht="15" hidden="false" customHeight="false" outlineLevel="0" collapsed="false">
      <c r="A35" s="26" t="s">
        <v>76</v>
      </c>
      <c r="B35" s="12" t="n">
        <v>100000</v>
      </c>
      <c r="C35" s="26" t="n">
        <v>1</v>
      </c>
      <c r="D35" s="26" t="s">
        <v>249</v>
      </c>
      <c r="E35" s="22" t="n">
        <v>1.01601900007609</v>
      </c>
      <c r="F35" s="22" t="n">
        <v>0.362787</v>
      </c>
      <c r="G35" s="12" t="n">
        <v>1</v>
      </c>
      <c r="H35" s="12" t="n">
        <v>1</v>
      </c>
      <c r="I35" s="26" t="n">
        <v>0</v>
      </c>
    </row>
    <row r="36" customFormat="false" ht="15" hidden="false" customHeight="false" outlineLevel="0" collapsed="false">
      <c r="A36" s="26" t="s">
        <v>76</v>
      </c>
      <c r="B36" s="12" t="n">
        <v>100000</v>
      </c>
      <c r="C36" s="26" t="n">
        <v>2</v>
      </c>
      <c r="D36" s="26" t="s">
        <v>249</v>
      </c>
      <c r="E36" s="22" t="n">
        <v>0.666361000071447</v>
      </c>
      <c r="F36" s="22" t="n">
        <v>0.265279</v>
      </c>
      <c r="G36" s="12" t="n">
        <v>1</v>
      </c>
      <c r="H36" s="12" t="n">
        <v>1</v>
      </c>
      <c r="I36" s="26" t="n">
        <v>0</v>
      </c>
    </row>
    <row r="37" customFormat="false" ht="15" hidden="false" customHeight="false" outlineLevel="0" collapsed="false">
      <c r="A37" s="26" t="s">
        <v>76</v>
      </c>
      <c r="B37" s="12" t="n">
        <v>100000</v>
      </c>
      <c r="C37" s="26" t="n">
        <v>3</v>
      </c>
      <c r="D37" s="26" t="s">
        <v>249</v>
      </c>
      <c r="E37" s="22" t="n">
        <v>0.661565999962477</v>
      </c>
      <c r="F37" s="22" t="n">
        <v>0.254383</v>
      </c>
      <c r="G37" s="12" t="n">
        <v>1</v>
      </c>
      <c r="H37" s="12" t="n">
        <v>1</v>
      </c>
      <c r="I37" s="26" t="n">
        <v>0</v>
      </c>
    </row>
    <row r="38" customFormat="false" ht="15" hidden="false" customHeight="false" outlineLevel="0" collapsed="false">
      <c r="A38" s="26" t="s">
        <v>76</v>
      </c>
      <c r="B38" s="12" t="n">
        <v>100000</v>
      </c>
      <c r="C38" s="26" t="n">
        <v>4</v>
      </c>
      <c r="D38" s="26" t="s">
        <v>249</v>
      </c>
      <c r="E38" s="22" t="n">
        <v>0.78816600000664</v>
      </c>
      <c r="F38" s="22" t="n">
        <v>0.356762</v>
      </c>
      <c r="G38" s="12" t="n">
        <v>1</v>
      </c>
      <c r="H38" s="12" t="n">
        <v>1</v>
      </c>
      <c r="I38" s="26" t="n">
        <v>0</v>
      </c>
    </row>
    <row r="39" customFormat="false" ht="15" hidden="false" customHeight="false" outlineLevel="0" collapsed="false">
      <c r="A39" s="26" t="s">
        <v>76</v>
      </c>
      <c r="B39" s="12" t="n">
        <v>100000</v>
      </c>
      <c r="C39" s="26" t="n">
        <v>5</v>
      </c>
      <c r="D39" s="26" t="s">
        <v>249</v>
      </c>
      <c r="E39" s="22" t="n">
        <v>0.682762999986153</v>
      </c>
      <c r="F39" s="22" t="n">
        <v>0.253651</v>
      </c>
      <c r="G39" s="12" t="n">
        <v>1</v>
      </c>
      <c r="H39" s="12" t="n">
        <v>1</v>
      </c>
      <c r="I39" s="26" t="n">
        <v>0</v>
      </c>
    </row>
    <row r="40" customFormat="false" ht="15" hidden="false" customHeight="false" outlineLevel="0" collapsed="false">
      <c r="A40" s="26" t="s">
        <v>77</v>
      </c>
      <c r="B40" s="12" t="n">
        <v>100000</v>
      </c>
      <c r="C40" s="26" t="n">
        <v>1</v>
      </c>
      <c r="D40" s="26" t="s">
        <v>250</v>
      </c>
      <c r="E40" s="22" t="n">
        <v>806.45202200003</v>
      </c>
      <c r="F40" s="22" t="n">
        <v>806.009589</v>
      </c>
      <c r="G40" s="12" t="n">
        <v>1000000</v>
      </c>
      <c r="H40" s="12" t="n">
        <v>1</v>
      </c>
      <c r="I40" s="26" t="n">
        <v>1</v>
      </c>
    </row>
    <row r="41" customFormat="false" ht="15" hidden="false" customHeight="false" outlineLevel="0" collapsed="false">
      <c r="A41" s="26" t="s">
        <v>77</v>
      </c>
      <c r="B41" s="12" t="n">
        <v>100000</v>
      </c>
      <c r="C41" s="26" t="n">
        <v>2</v>
      </c>
      <c r="D41" s="26" t="s">
        <v>250</v>
      </c>
      <c r="E41" s="22" t="n">
        <v>871.742890000064</v>
      </c>
      <c r="F41" s="22" t="n">
        <v>871.313417</v>
      </c>
      <c r="G41" s="12" t="n">
        <v>1000000</v>
      </c>
      <c r="H41" s="12" t="n">
        <v>1</v>
      </c>
      <c r="I41" s="26" t="n">
        <v>1</v>
      </c>
    </row>
    <row r="42" customFormat="false" ht="15" hidden="false" customHeight="false" outlineLevel="0" collapsed="false">
      <c r="A42" s="26" t="s">
        <v>77</v>
      </c>
      <c r="B42" s="12" t="n">
        <v>100000</v>
      </c>
      <c r="C42" s="26" t="n">
        <v>3</v>
      </c>
      <c r="D42" s="26" t="s">
        <v>250</v>
      </c>
      <c r="E42" s="22" t="n">
        <v>788.802455999985</v>
      </c>
      <c r="F42" s="22" t="n">
        <v>788.365621</v>
      </c>
      <c r="G42" s="12" t="n">
        <v>1000000</v>
      </c>
      <c r="H42" s="12" t="n">
        <v>1</v>
      </c>
      <c r="I42" s="26" t="n">
        <v>1</v>
      </c>
    </row>
    <row r="43" customFormat="false" ht="15" hidden="false" customHeight="false" outlineLevel="0" collapsed="false">
      <c r="A43" s="26" t="s">
        <v>77</v>
      </c>
      <c r="B43" s="12" t="n">
        <v>100000</v>
      </c>
      <c r="C43" s="26" t="n">
        <v>4</v>
      </c>
      <c r="D43" s="26" t="s">
        <v>250</v>
      </c>
      <c r="E43" s="22" t="n">
        <v>959.004614000037</v>
      </c>
      <c r="F43" s="22" t="n">
        <v>958.504123</v>
      </c>
      <c r="G43" s="12" t="n">
        <v>1000000</v>
      </c>
      <c r="H43" s="12" t="n">
        <v>1</v>
      </c>
      <c r="I43" s="26" t="n">
        <v>1</v>
      </c>
    </row>
    <row r="44" customFormat="false" ht="15" hidden="false" customHeight="false" outlineLevel="0" collapsed="false">
      <c r="A44" s="26" t="s">
        <v>77</v>
      </c>
      <c r="B44" s="12" t="n">
        <v>100000</v>
      </c>
      <c r="C44" s="26" t="n">
        <v>5</v>
      </c>
      <c r="D44" s="26" t="s">
        <v>250</v>
      </c>
      <c r="E44" s="22" t="n">
        <v>845.485555999971</v>
      </c>
      <c r="F44" s="22" t="n">
        <v>845.069312</v>
      </c>
      <c r="G44" s="12" t="n">
        <v>1000000</v>
      </c>
      <c r="H44" s="12" t="n">
        <v>1</v>
      </c>
      <c r="I44" s="26" t="n">
        <v>1</v>
      </c>
    </row>
    <row r="45" customFormat="false" ht="15" hidden="false" customHeight="false" outlineLevel="0" collapsed="false">
      <c r="A45" s="26" t="s">
        <v>76</v>
      </c>
      <c r="B45" s="12" t="n">
        <v>1000000</v>
      </c>
      <c r="C45" s="26" t="n">
        <v>1</v>
      </c>
      <c r="D45" s="26" t="s">
        <v>251</v>
      </c>
      <c r="E45" s="22" t="n">
        <v>1.14379800004372</v>
      </c>
      <c r="F45" s="22" t="n">
        <v>0.566334</v>
      </c>
      <c r="G45" s="12" t="n">
        <v>1</v>
      </c>
      <c r="H45" s="12" t="n">
        <v>1</v>
      </c>
      <c r="I45" s="26" t="n">
        <v>0</v>
      </c>
    </row>
    <row r="46" customFormat="false" ht="15" hidden="false" customHeight="false" outlineLevel="0" collapsed="false">
      <c r="A46" s="26" t="s">
        <v>76</v>
      </c>
      <c r="B46" s="12" t="n">
        <v>1000000</v>
      </c>
      <c r="C46" s="26" t="n">
        <v>2</v>
      </c>
      <c r="D46" s="26" t="s">
        <v>251</v>
      </c>
      <c r="E46" s="22" t="n">
        <v>0.740886000016872</v>
      </c>
      <c r="F46" s="22" t="n">
        <v>0.3355</v>
      </c>
      <c r="G46" s="12" t="n">
        <v>1</v>
      </c>
      <c r="H46" s="12" t="n">
        <v>1</v>
      </c>
      <c r="I46" s="26" t="n">
        <v>0</v>
      </c>
    </row>
    <row r="47" customFormat="false" ht="15" hidden="false" customHeight="false" outlineLevel="0" collapsed="false">
      <c r="A47" s="26" t="s">
        <v>76</v>
      </c>
      <c r="B47" s="12" t="n">
        <v>1000000</v>
      </c>
      <c r="C47" s="26" t="n">
        <v>3</v>
      </c>
      <c r="D47" s="26" t="s">
        <v>251</v>
      </c>
      <c r="E47" s="22" t="n">
        <v>1.16190699998242</v>
      </c>
      <c r="F47" s="22" t="n">
        <v>0.448783</v>
      </c>
      <c r="G47" s="12" t="n">
        <v>1</v>
      </c>
      <c r="H47" s="12" t="n">
        <v>1</v>
      </c>
      <c r="I47" s="26" t="n">
        <v>0</v>
      </c>
    </row>
    <row r="48" customFormat="false" ht="15" hidden="false" customHeight="false" outlineLevel="0" collapsed="false">
      <c r="A48" s="26" t="s">
        <v>76</v>
      </c>
      <c r="B48" s="12" t="n">
        <v>1000000</v>
      </c>
      <c r="C48" s="26" t="n">
        <v>4</v>
      </c>
      <c r="D48" s="26" t="s">
        <v>251</v>
      </c>
      <c r="E48" s="22" t="n">
        <v>1.36924800006</v>
      </c>
      <c r="F48" s="22" t="n">
        <v>0.497537</v>
      </c>
      <c r="G48" s="12" t="n">
        <v>1</v>
      </c>
      <c r="H48" s="12" t="n">
        <v>1</v>
      </c>
      <c r="I48" s="26" t="n">
        <v>0</v>
      </c>
    </row>
    <row r="49" customFormat="false" ht="15" hidden="false" customHeight="false" outlineLevel="0" collapsed="false">
      <c r="A49" s="26" t="s">
        <v>76</v>
      </c>
      <c r="B49" s="12" t="n">
        <v>1000000</v>
      </c>
      <c r="C49" s="26" t="n">
        <v>5</v>
      </c>
      <c r="D49" s="26" t="s">
        <v>251</v>
      </c>
      <c r="E49" s="22" t="n">
        <v>0.676903999988099</v>
      </c>
      <c r="F49" s="22" t="n">
        <v>0.257912</v>
      </c>
      <c r="G49" s="12" t="n">
        <v>1</v>
      </c>
      <c r="H49" s="12" t="n">
        <v>1</v>
      </c>
      <c r="I49" s="26" t="n">
        <v>0</v>
      </c>
    </row>
    <row r="50" customFormat="false" ht="15" hidden="false" customHeight="false" outlineLevel="0" collapsed="false">
      <c r="A50" s="26" t="s">
        <v>77</v>
      </c>
      <c r="B50" s="12" t="n">
        <v>1000000</v>
      </c>
      <c r="C50" s="26" t="n">
        <v>1</v>
      </c>
      <c r="D50" s="26" t="s">
        <v>252</v>
      </c>
      <c r="E50" s="22" t="n">
        <v>879.399527000032</v>
      </c>
      <c r="F50" s="22" t="n">
        <v>878.961233</v>
      </c>
      <c r="G50" s="12" t="n">
        <v>1000000</v>
      </c>
      <c r="H50" s="12" t="n">
        <v>1</v>
      </c>
      <c r="I50" s="26" t="n">
        <v>1</v>
      </c>
    </row>
    <row r="51" customFormat="false" ht="15" hidden="false" customHeight="false" outlineLevel="0" collapsed="false">
      <c r="A51" s="26" t="s">
        <v>77</v>
      </c>
      <c r="B51" s="12" t="n">
        <v>1000000</v>
      </c>
      <c r="C51" s="26" t="n">
        <v>2</v>
      </c>
      <c r="D51" s="26" t="s">
        <v>252</v>
      </c>
      <c r="E51" s="22" t="n">
        <v>837.870941999995</v>
      </c>
      <c r="F51" s="22" t="n">
        <v>837.26759</v>
      </c>
      <c r="G51" s="12" t="n">
        <v>1000000</v>
      </c>
      <c r="H51" s="12" t="n">
        <v>1</v>
      </c>
      <c r="I51" s="26" t="n">
        <v>1</v>
      </c>
    </row>
    <row r="52" customFormat="false" ht="15" hidden="false" customHeight="false" outlineLevel="0" collapsed="false">
      <c r="A52" s="26" t="s">
        <v>77</v>
      </c>
      <c r="B52" s="12" t="n">
        <v>1000000</v>
      </c>
      <c r="C52" s="26" t="n">
        <v>3</v>
      </c>
      <c r="D52" s="26" t="s">
        <v>252</v>
      </c>
      <c r="E52" s="22" t="n">
        <v>845.299662000002</v>
      </c>
      <c r="F52" s="22" t="n">
        <v>844.916247</v>
      </c>
      <c r="G52" s="12" t="n">
        <v>1000000</v>
      </c>
      <c r="H52" s="12" t="n">
        <v>1</v>
      </c>
      <c r="I52" s="26" t="n">
        <v>1</v>
      </c>
    </row>
    <row r="53" customFormat="false" ht="15" hidden="false" customHeight="false" outlineLevel="0" collapsed="false">
      <c r="A53" s="26" t="s">
        <v>77</v>
      </c>
      <c r="B53" s="12" t="n">
        <v>1000000</v>
      </c>
      <c r="C53" s="26" t="n">
        <v>4</v>
      </c>
      <c r="D53" s="26" t="s">
        <v>252</v>
      </c>
      <c r="E53" s="22" t="n">
        <v>756.945339000026</v>
      </c>
      <c r="F53" s="22" t="n">
        <v>756.63878</v>
      </c>
      <c r="G53" s="12" t="n">
        <v>1000000</v>
      </c>
      <c r="H53" s="12" t="n">
        <v>1</v>
      </c>
      <c r="I53" s="26" t="n">
        <v>1</v>
      </c>
    </row>
    <row r="54" customFormat="false" ht="15" hidden="false" customHeight="false" outlineLevel="0" collapsed="false">
      <c r="A54" s="26" t="s">
        <v>77</v>
      </c>
      <c r="B54" s="12" t="n">
        <v>1000000</v>
      </c>
      <c r="C54" s="26" t="n">
        <v>5</v>
      </c>
      <c r="D54" s="26" t="s">
        <v>252</v>
      </c>
      <c r="E54" s="22" t="n">
        <v>903.327562999948</v>
      </c>
      <c r="F54" s="22" t="n">
        <v>902.892118</v>
      </c>
      <c r="G54" s="12" t="n">
        <v>1000000</v>
      </c>
      <c r="H54" s="12" t="n">
        <v>1</v>
      </c>
      <c r="I54" s="26" t="n">
        <v>1</v>
      </c>
    </row>
    <row r="57" customFormat="false" ht="15" hidden="false" customHeight="false" outlineLevel="0" collapsed="false">
      <c r="A57" s="6" t="s">
        <v>253</v>
      </c>
    </row>
    <row r="58" customFormat="false" ht="15" hidden="false" customHeight="false" outlineLevel="0" collapsed="false">
      <c r="A58" s="7" t="s">
        <v>93</v>
      </c>
      <c r="B58" s="7" t="s">
        <v>22</v>
      </c>
      <c r="C58" s="7" t="s">
        <v>23</v>
      </c>
      <c r="D58" s="7" t="s">
        <v>254</v>
      </c>
      <c r="E58" s="7" t="s">
        <v>255</v>
      </c>
      <c r="F58" s="7" t="s">
        <v>256</v>
      </c>
      <c r="G58" s="7" t="s">
        <v>257</v>
      </c>
    </row>
    <row r="59" customFormat="false" ht="15" hidden="false" customHeight="false" outlineLevel="0" collapsed="false">
      <c r="A59" s="26" t="s">
        <v>76</v>
      </c>
      <c r="B59" s="26" t="s">
        <v>84</v>
      </c>
      <c r="C59" s="12" t="n">
        <v>1000000</v>
      </c>
      <c r="D59" s="12" t="n">
        <v>1001</v>
      </c>
      <c r="E59" s="22" t="n">
        <v>56.708367688</v>
      </c>
      <c r="F59" s="22" t="n">
        <v>30.954988552</v>
      </c>
      <c r="G59" s="12" t="n">
        <v>1000000</v>
      </c>
    </row>
    <row r="60" customFormat="false" ht="15" hidden="false" customHeight="false" outlineLevel="0" collapsed="false">
      <c r="A60" s="26" t="s">
        <v>77</v>
      </c>
      <c r="B60" s="26" t="s">
        <v>84</v>
      </c>
      <c r="C60" s="12" t="n">
        <v>1000000</v>
      </c>
      <c r="D60" s="12" t="n">
        <v>1001</v>
      </c>
      <c r="E60" s="22" t="n">
        <v>33.601339096</v>
      </c>
      <c r="F60" s="22" t="n">
        <v>17.684745495</v>
      </c>
      <c r="G60" s="12" t="n">
        <v>1000000</v>
      </c>
    </row>
    <row r="61" customFormat="false" ht="15" hidden="false" customHeight="false" outlineLevel="0" collapsed="false">
      <c r="A61" s="26" t="s">
        <v>76</v>
      </c>
      <c r="B61" s="26" t="s">
        <v>85</v>
      </c>
      <c r="C61" s="12" t="n">
        <v>20000</v>
      </c>
      <c r="D61" s="12" t="n">
        <v>21</v>
      </c>
      <c r="E61" s="22" t="n">
        <v>0.749585235000041</v>
      </c>
      <c r="F61" s="22" t="n">
        <v>0.427533389</v>
      </c>
      <c r="G61" s="12" t="n">
        <v>1020000</v>
      </c>
    </row>
    <row r="62" customFormat="false" ht="15" hidden="false" customHeight="false" outlineLevel="0" collapsed="false">
      <c r="A62" s="26" t="s">
        <v>77</v>
      </c>
      <c r="B62" s="26" t="s">
        <v>85</v>
      </c>
      <c r="C62" s="12" t="n">
        <v>20000</v>
      </c>
      <c r="D62" s="12" t="n">
        <v>21</v>
      </c>
      <c r="E62" s="22" t="n">
        <v>0.756412953999984</v>
      </c>
      <c r="F62" s="22" t="n">
        <v>0.386938598</v>
      </c>
      <c r="G62" s="12" t="n">
        <v>1020000</v>
      </c>
    </row>
    <row r="63" customFormat="false" ht="15" hidden="false" customHeight="false" outlineLevel="0" collapsed="false">
      <c r="A63" s="26" t="s">
        <v>76</v>
      </c>
      <c r="B63" s="26" t="s">
        <v>86</v>
      </c>
      <c r="C63" s="12" t="n">
        <v>40000</v>
      </c>
      <c r="D63" s="12" t="n">
        <v>41</v>
      </c>
      <c r="E63" s="22" t="n">
        <v>1.27745766199996</v>
      </c>
      <c r="F63" s="22" t="n">
        <v>0.708480528</v>
      </c>
      <c r="G63" s="12" t="n">
        <v>1060000</v>
      </c>
    </row>
    <row r="64" customFormat="false" ht="15" hidden="false" customHeight="false" outlineLevel="0" collapsed="false">
      <c r="A64" s="26" t="s">
        <v>77</v>
      </c>
      <c r="B64" s="26" t="s">
        <v>86</v>
      </c>
      <c r="C64" s="12" t="n">
        <v>40000</v>
      </c>
      <c r="D64" s="12" t="n">
        <v>41</v>
      </c>
      <c r="E64" s="22" t="n">
        <v>1.24318639000001</v>
      </c>
      <c r="F64" s="22" t="n">
        <v>0.646316394</v>
      </c>
      <c r="G64" s="12" t="n">
        <v>1060000</v>
      </c>
    </row>
    <row r="65" customFormat="false" ht="15" hidden="false" customHeight="false" outlineLevel="0" collapsed="false">
      <c r="A65" s="26" t="s">
        <v>76</v>
      </c>
      <c r="B65" s="26" t="s">
        <v>87</v>
      </c>
      <c r="C65" s="12" t="n">
        <v>60000</v>
      </c>
      <c r="D65" s="12" t="n">
        <v>61</v>
      </c>
      <c r="E65" s="22" t="n">
        <v>1.98986570700004</v>
      </c>
      <c r="F65" s="22" t="n">
        <v>1.086613423</v>
      </c>
      <c r="G65" s="12" t="n">
        <v>1120000</v>
      </c>
    </row>
    <row r="66" customFormat="false" ht="15" hidden="false" customHeight="false" outlineLevel="0" collapsed="false">
      <c r="A66" s="26" t="s">
        <v>77</v>
      </c>
      <c r="B66" s="26" t="s">
        <v>87</v>
      </c>
      <c r="C66" s="12" t="n">
        <v>60000</v>
      </c>
      <c r="D66" s="12" t="n">
        <v>61</v>
      </c>
      <c r="E66" s="22" t="n">
        <v>1.92735950699989</v>
      </c>
      <c r="F66" s="22" t="n">
        <v>1.014152742</v>
      </c>
      <c r="G66" s="12" t="n">
        <v>1120000</v>
      </c>
    </row>
    <row r="67" customFormat="false" ht="15" hidden="false" customHeight="false" outlineLevel="0" collapsed="false">
      <c r="A67" s="26" t="s">
        <v>76</v>
      </c>
      <c r="B67" s="26" t="s">
        <v>88</v>
      </c>
      <c r="C67" s="12" t="n">
        <v>100000</v>
      </c>
      <c r="D67" s="12" t="n">
        <v>101</v>
      </c>
      <c r="E67" s="22" t="n">
        <v>3.22351614199999</v>
      </c>
      <c r="F67" s="22" t="n">
        <v>1.781666465</v>
      </c>
      <c r="G67" s="12" t="n">
        <v>1220000</v>
      </c>
    </row>
    <row r="68" customFormat="false" ht="15" hidden="false" customHeight="false" outlineLevel="0" collapsed="false">
      <c r="A68" s="26" t="s">
        <v>77</v>
      </c>
      <c r="B68" s="26" t="s">
        <v>88</v>
      </c>
      <c r="C68" s="12" t="n">
        <v>100000</v>
      </c>
      <c r="D68" s="12" t="n">
        <v>101</v>
      </c>
      <c r="E68" s="22" t="n">
        <v>3.17067805700003</v>
      </c>
      <c r="F68" s="22" t="n">
        <v>1.680908856</v>
      </c>
      <c r="G68" s="12" t="n">
        <v>1220000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258</v>
      </c>
    </row>
    <row r="3" customFormat="false" ht="15" hidden="false" customHeight="false" outlineLevel="0" collapsed="false">
      <c r="A3" s="6" t="s">
        <v>259</v>
      </c>
    </row>
    <row r="4" customFormat="false" ht="15" hidden="false" customHeight="false" outlineLevel="0" collapsed="false">
      <c r="A4" s="36" t="s">
        <v>260</v>
      </c>
      <c r="B4" s="17" t="s">
        <v>261</v>
      </c>
    </row>
    <row r="5" customFormat="false" ht="15" hidden="false" customHeight="false" outlineLevel="0" collapsed="false">
      <c r="A5" s="36" t="s">
        <v>262</v>
      </c>
      <c r="B5" s="17" t="s">
        <v>263</v>
      </c>
    </row>
    <row r="6" customFormat="false" ht="15" hidden="false" customHeight="false" outlineLevel="0" collapsed="false">
      <c r="A6" s="36" t="s">
        <v>264</v>
      </c>
      <c r="B6" s="17" t="s">
        <v>265</v>
      </c>
    </row>
    <row r="7" customFormat="false" ht="15" hidden="false" customHeight="false" outlineLevel="0" collapsed="false">
      <c r="A7" s="36" t="s">
        <v>266</v>
      </c>
      <c r="B7" s="17" t="s">
        <v>267</v>
      </c>
    </row>
    <row r="8" customFormat="false" ht="15" hidden="false" customHeight="false" outlineLevel="0" collapsed="false">
      <c r="A8" s="36" t="s">
        <v>268</v>
      </c>
      <c r="B8" s="17" t="s">
        <v>269</v>
      </c>
    </row>
    <row r="9" customFormat="false" ht="15" hidden="false" customHeight="false" outlineLevel="0" collapsed="false">
      <c r="A9" s="36" t="s">
        <v>270</v>
      </c>
      <c r="B9" s="17" t="s">
        <v>271</v>
      </c>
    </row>
    <row r="10" customFormat="false" ht="15" hidden="false" customHeight="false" outlineLevel="0" collapsed="false">
      <c r="A10" s="36" t="s">
        <v>272</v>
      </c>
      <c r="B10" s="17" t="s">
        <v>273</v>
      </c>
    </row>
    <row r="11" customFormat="false" ht="15" hidden="false" customHeight="false" outlineLevel="0" collapsed="false">
      <c r="A11" s="36" t="s">
        <v>274</v>
      </c>
      <c r="B11" s="17" t="s">
        <v>275</v>
      </c>
    </row>
    <row r="12" customFormat="false" ht="15" hidden="false" customHeight="false" outlineLevel="0" collapsed="false">
      <c r="A12" s="36" t="s">
        <v>276</v>
      </c>
      <c r="B12" s="17" t="s">
        <v>277</v>
      </c>
    </row>
    <row r="14" customFormat="false" ht="15" hidden="false" customHeight="false" outlineLevel="0" collapsed="false">
      <c r="A14" s="6" t="s">
        <v>278</v>
      </c>
    </row>
    <row r="15" customFormat="false" ht="30" hidden="false" customHeight="true" outlineLevel="0" collapsed="false">
      <c r="A15" s="36" t="s">
        <v>279</v>
      </c>
      <c r="B15" s="17" t="s">
        <v>280</v>
      </c>
    </row>
    <row r="16" customFormat="false" ht="30" hidden="false" customHeight="true" outlineLevel="0" collapsed="false">
      <c r="A16" s="36" t="s">
        <v>281</v>
      </c>
      <c r="B16" s="17" t="s">
        <v>282</v>
      </c>
    </row>
    <row r="17" customFormat="false" ht="30" hidden="false" customHeight="true" outlineLevel="0" collapsed="false">
      <c r="A17" s="36" t="s">
        <v>283</v>
      </c>
      <c r="B17" s="17" t="s">
        <v>284</v>
      </c>
    </row>
    <row r="18" customFormat="false" ht="15" hidden="false" customHeight="false" outlineLevel="0" collapsed="false">
      <c r="A18" s="36" t="s">
        <v>285</v>
      </c>
      <c r="B18" s="17" t="s">
        <v>286</v>
      </c>
    </row>
    <row r="19" customFormat="false" ht="15" hidden="false" customHeight="false" outlineLevel="0" collapsed="false">
      <c r="A19" s="36" t="s">
        <v>287</v>
      </c>
      <c r="B19" s="17" t="s">
        <v>288</v>
      </c>
    </row>
    <row r="20" customFormat="false" ht="30" hidden="false" customHeight="true" outlineLevel="0" collapsed="false">
      <c r="A20" s="36" t="s">
        <v>289</v>
      </c>
      <c r="B20" s="17" t="s">
        <v>290</v>
      </c>
    </row>
    <row r="21" customFormat="false" ht="30" hidden="false" customHeight="true" outlineLevel="0" collapsed="false">
      <c r="A21" s="36" t="s">
        <v>291</v>
      </c>
      <c r="B21" s="17" t="s">
        <v>292</v>
      </c>
    </row>
    <row r="22" customFormat="false" ht="45" hidden="false" customHeight="true" outlineLevel="0" collapsed="false">
      <c r="A22" s="36" t="s">
        <v>293</v>
      </c>
      <c r="B22" s="17" t="s">
        <v>294</v>
      </c>
    </row>
    <row r="23" customFormat="false" ht="30" hidden="false" customHeight="true" outlineLevel="0" collapsed="false">
      <c r="A23" s="36" t="s">
        <v>295</v>
      </c>
      <c r="B23" s="17" t="s">
        <v>296</v>
      </c>
    </row>
    <row r="25" customFormat="false" ht="15" hidden="false" customHeight="false" outlineLevel="0" collapsed="false">
      <c r="A25" s="6" t="s">
        <v>297</v>
      </c>
    </row>
    <row r="26" customFormat="false" ht="195" hidden="false" customHeight="true" outlineLevel="0" collapsed="false">
      <c r="A26" s="36" t="s">
        <v>76</v>
      </c>
      <c r="B26" s="17" t="s">
        <v>298</v>
      </c>
    </row>
    <row r="27" customFormat="false" ht="195" hidden="false" customHeight="true" outlineLevel="0" collapsed="false">
      <c r="A27" s="36" t="s">
        <v>77</v>
      </c>
      <c r="B27" s="17" t="s">
        <v>299</v>
      </c>
    </row>
    <row r="29" customFormat="false" ht="15" hidden="false" customHeight="false" outlineLevel="0" collapsed="false">
      <c r="A29" s="6" t="s">
        <v>300</v>
      </c>
    </row>
    <row r="30" customFormat="false" ht="30" hidden="false" customHeight="true" outlineLevel="0" collapsed="false">
      <c r="A30" s="36" t="s">
        <v>301</v>
      </c>
      <c r="B30" s="17" t="s">
        <v>302</v>
      </c>
    </row>
    <row r="31" customFormat="false" ht="45" hidden="false" customHeight="true" outlineLevel="0" collapsed="false">
      <c r="A31" s="36" t="s">
        <v>303</v>
      </c>
      <c r="B31" s="17" t="s">
        <v>304</v>
      </c>
    </row>
    <row r="32" customFormat="false" ht="30" hidden="false" customHeight="true" outlineLevel="0" collapsed="false">
      <c r="A32" s="36" t="s">
        <v>305</v>
      </c>
      <c r="B32" s="17" t="s">
        <v>306</v>
      </c>
    </row>
    <row r="33" customFormat="false" ht="30" hidden="false" customHeight="true" outlineLevel="0" collapsed="false">
      <c r="A33" s="36" t="s">
        <v>307</v>
      </c>
      <c r="B33" s="17" t="s">
        <v>308</v>
      </c>
    </row>
    <row r="34" customFormat="false" ht="30" hidden="false" customHeight="true" outlineLevel="0" collapsed="false">
      <c r="A34" s="36" t="s">
        <v>309</v>
      </c>
      <c r="B34" s="17" t="s">
        <v>310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2026-09-27T18:19:33Z</dcterms:created>
  <dc:creator>openpyxl</dc:creator>
  <dc:description/>
  <dc:language>en-US</dc:language>
  <cp:lastModifiedBy/>
  <dcterms:modified xsi:type="dcterms:W3CDTF">2026-09-28T01:19:35Z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